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Profiles\Desktop\MIRROR Line Simulator\info\"/>
    </mc:Choice>
  </mc:AlternateContent>
  <xr:revisionPtr revIDLastSave="0" documentId="13_ncr:1_{589796F1-EB8F-47D0-8AEF-C11A2B0098E1}" xr6:coauthVersionLast="47" xr6:coauthVersionMax="47" xr10:uidLastSave="{00000000-0000-0000-0000-000000000000}"/>
  <bookViews>
    <workbookView xWindow="-108" yWindow="-108" windowWidth="23256" windowHeight="12456" xr2:uid="{5E4D74AF-133C-404A-87F4-329F30C6CE4E}"/>
  </bookViews>
  <sheets>
    <sheet name="Size Insight" sheetId="5" r:id="rId1"/>
    <sheet name="Batch 2" sheetId="3" r:id="rId2"/>
    <sheet name="0.Std.Loading gap" sheetId="2" r:id="rId3"/>
    <sheet name="Size" sheetId="1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7" i="5" l="1"/>
  <c r="H127" i="5"/>
  <c r="A127" i="5" s="1"/>
  <c r="F127" i="5"/>
  <c r="L127" i="5" s="1"/>
  <c r="E127" i="5"/>
  <c r="K126" i="5"/>
  <c r="J126" i="5"/>
  <c r="H126" i="5"/>
  <c r="A126" i="5" s="1"/>
  <c r="F126" i="5"/>
  <c r="L126" i="5" s="1"/>
  <c r="E126" i="5"/>
  <c r="J125" i="5"/>
  <c r="H125" i="5"/>
  <c r="L125" i="5" s="1"/>
  <c r="F125" i="5"/>
  <c r="E125" i="5"/>
  <c r="L124" i="5"/>
  <c r="K124" i="5"/>
  <c r="J124" i="5"/>
  <c r="J128" i="5" s="1"/>
  <c r="H124" i="5"/>
  <c r="H128" i="5" s="1"/>
  <c r="K128" i="5" s="1"/>
  <c r="F124" i="5"/>
  <c r="F128" i="5" s="1"/>
  <c r="L128" i="5" s="1"/>
  <c r="E124" i="5"/>
  <c r="H120" i="5"/>
  <c r="K120" i="5" s="1"/>
  <c r="J119" i="5"/>
  <c r="H119" i="5"/>
  <c r="K119" i="5" s="1"/>
  <c r="F119" i="5"/>
  <c r="L119" i="5" s="1"/>
  <c r="E119" i="5"/>
  <c r="A119" i="5"/>
  <c r="L118" i="5"/>
  <c r="K118" i="5"/>
  <c r="J118" i="5"/>
  <c r="H118" i="5"/>
  <c r="A118" i="5" s="1"/>
  <c r="F118" i="5"/>
  <c r="E118" i="5"/>
  <c r="J117" i="5"/>
  <c r="J120" i="5" s="1"/>
  <c r="I117" i="5"/>
  <c r="H117" i="5"/>
  <c r="A117" i="5" s="1"/>
  <c r="F117" i="5"/>
  <c r="E117" i="5"/>
  <c r="J116" i="5"/>
  <c r="H116" i="5"/>
  <c r="A116" i="5" s="1"/>
  <c r="F116" i="5"/>
  <c r="F120" i="5" s="1"/>
  <c r="L120" i="5" s="1"/>
  <c r="E116" i="5"/>
  <c r="L111" i="5"/>
  <c r="J111" i="5"/>
  <c r="K111" i="5" s="1"/>
  <c r="H111" i="5"/>
  <c r="F111" i="5"/>
  <c r="E111" i="5"/>
  <c r="J110" i="5"/>
  <c r="H110" i="5"/>
  <c r="A110" i="5" s="1"/>
  <c r="F110" i="5"/>
  <c r="L110" i="5" s="1"/>
  <c r="E110" i="5"/>
  <c r="J109" i="5"/>
  <c r="H109" i="5"/>
  <c r="K109" i="5" s="1"/>
  <c r="F109" i="5"/>
  <c r="L109" i="5" s="1"/>
  <c r="E109" i="5"/>
  <c r="A109" i="5"/>
  <c r="L108" i="5"/>
  <c r="K108" i="5"/>
  <c r="J108" i="5"/>
  <c r="H108" i="5"/>
  <c r="F108" i="5"/>
  <c r="E108" i="5"/>
  <c r="L107" i="5"/>
  <c r="J107" i="5"/>
  <c r="K107" i="5" s="1"/>
  <c r="H107" i="5"/>
  <c r="F107" i="5"/>
  <c r="E107" i="5"/>
  <c r="J106" i="5"/>
  <c r="H106" i="5"/>
  <c r="A106" i="5" s="1"/>
  <c r="F106" i="5"/>
  <c r="L106" i="5" s="1"/>
  <c r="E106" i="5"/>
  <c r="J105" i="5"/>
  <c r="H105" i="5"/>
  <c r="K105" i="5" s="1"/>
  <c r="F105" i="5"/>
  <c r="L105" i="5" s="1"/>
  <c r="E105" i="5"/>
  <c r="A105" i="5"/>
  <c r="L104" i="5"/>
  <c r="K104" i="5"/>
  <c r="J104" i="5"/>
  <c r="H104" i="5"/>
  <c r="F104" i="5"/>
  <c r="E104" i="5"/>
  <c r="L103" i="5"/>
  <c r="J103" i="5"/>
  <c r="K103" i="5" s="1"/>
  <c r="H103" i="5"/>
  <c r="F103" i="5"/>
  <c r="E103" i="5"/>
  <c r="J102" i="5"/>
  <c r="H102" i="5"/>
  <c r="A102" i="5" s="1"/>
  <c r="F102" i="5"/>
  <c r="L102" i="5" s="1"/>
  <c r="E102" i="5"/>
  <c r="J101" i="5"/>
  <c r="H101" i="5"/>
  <c r="K101" i="5" s="1"/>
  <c r="F101" i="5"/>
  <c r="L101" i="5" s="1"/>
  <c r="E101" i="5"/>
  <c r="A101" i="5"/>
  <c r="L100" i="5"/>
  <c r="K100" i="5"/>
  <c r="J100" i="5"/>
  <c r="H100" i="5"/>
  <c r="F100" i="5"/>
  <c r="E100" i="5"/>
  <c r="L99" i="5"/>
  <c r="J99" i="5"/>
  <c r="K99" i="5" s="1"/>
  <c r="H99" i="5"/>
  <c r="F99" i="5"/>
  <c r="E99" i="5"/>
  <c r="J98" i="5"/>
  <c r="H98" i="5"/>
  <c r="A98" i="5" s="1"/>
  <c r="F98" i="5"/>
  <c r="L98" i="5" s="1"/>
  <c r="E98" i="5"/>
  <c r="J97" i="5"/>
  <c r="H97" i="5"/>
  <c r="K97" i="5" s="1"/>
  <c r="F97" i="5"/>
  <c r="L97" i="5" s="1"/>
  <c r="E97" i="5"/>
  <c r="A97" i="5"/>
  <c r="L96" i="5"/>
  <c r="K96" i="5"/>
  <c r="J96" i="5"/>
  <c r="H96" i="5"/>
  <c r="F96" i="5"/>
  <c r="E96" i="5"/>
  <c r="L95" i="5"/>
  <c r="J95" i="5"/>
  <c r="K95" i="5" s="1"/>
  <c r="H95" i="5"/>
  <c r="F95" i="5"/>
  <c r="E95" i="5"/>
  <c r="J94" i="5"/>
  <c r="H94" i="5"/>
  <c r="A94" i="5" s="1"/>
  <c r="F94" i="5"/>
  <c r="L94" i="5" s="1"/>
  <c r="E94" i="5"/>
  <c r="J93" i="5"/>
  <c r="H93" i="5"/>
  <c r="K93" i="5" s="1"/>
  <c r="F93" i="5"/>
  <c r="L93" i="5" s="1"/>
  <c r="E93" i="5"/>
  <c r="A93" i="5"/>
  <c r="L92" i="5"/>
  <c r="K92" i="5"/>
  <c r="J92" i="5"/>
  <c r="H92" i="5"/>
  <c r="F92" i="5"/>
  <c r="E92" i="5"/>
  <c r="L91" i="5"/>
  <c r="J91" i="5"/>
  <c r="K91" i="5" s="1"/>
  <c r="H91" i="5"/>
  <c r="F91" i="5"/>
  <c r="E91" i="5"/>
  <c r="J90" i="5"/>
  <c r="H90" i="5"/>
  <c r="A90" i="5" s="1"/>
  <c r="F90" i="5"/>
  <c r="L90" i="5" s="1"/>
  <c r="E90" i="5"/>
  <c r="J89" i="5"/>
  <c r="H89" i="5"/>
  <c r="K89" i="5" s="1"/>
  <c r="F89" i="5"/>
  <c r="L89" i="5" s="1"/>
  <c r="E89" i="5"/>
  <c r="A89" i="5"/>
  <c r="L88" i="5"/>
  <c r="K88" i="5"/>
  <c r="J88" i="5"/>
  <c r="H88" i="5"/>
  <c r="F88" i="5"/>
  <c r="E88" i="5"/>
  <c r="L87" i="5"/>
  <c r="J87" i="5"/>
  <c r="K87" i="5" s="1"/>
  <c r="H87" i="5"/>
  <c r="F87" i="5"/>
  <c r="E87" i="5"/>
  <c r="J86" i="5"/>
  <c r="H86" i="5"/>
  <c r="A86" i="5" s="1"/>
  <c r="F86" i="5"/>
  <c r="L86" i="5" s="1"/>
  <c r="E86" i="5"/>
  <c r="J85" i="5"/>
  <c r="H85" i="5"/>
  <c r="K85" i="5" s="1"/>
  <c r="F85" i="5"/>
  <c r="L85" i="5" s="1"/>
  <c r="E85" i="5"/>
  <c r="A85" i="5"/>
  <c r="L84" i="5"/>
  <c r="K84" i="5"/>
  <c r="J84" i="5"/>
  <c r="H84" i="5"/>
  <c r="F84" i="5"/>
  <c r="E84" i="5"/>
  <c r="L83" i="5"/>
  <c r="J83" i="5"/>
  <c r="K83" i="5" s="1"/>
  <c r="H83" i="5"/>
  <c r="F83" i="5"/>
  <c r="E83" i="5"/>
  <c r="J82" i="5"/>
  <c r="H82" i="5"/>
  <c r="A82" i="5" s="1"/>
  <c r="F82" i="5"/>
  <c r="L82" i="5" s="1"/>
  <c r="E82" i="5"/>
  <c r="J81" i="5"/>
  <c r="H81" i="5"/>
  <c r="K81" i="5" s="1"/>
  <c r="F81" i="5"/>
  <c r="L81" i="5" s="1"/>
  <c r="E81" i="5"/>
  <c r="A81" i="5"/>
  <c r="L80" i="5"/>
  <c r="K80" i="5"/>
  <c r="J80" i="5"/>
  <c r="H80" i="5"/>
  <c r="F80" i="5"/>
  <c r="E80" i="5"/>
  <c r="L79" i="5"/>
  <c r="J79" i="5"/>
  <c r="K79" i="5" s="1"/>
  <c r="H79" i="5"/>
  <c r="F79" i="5"/>
  <c r="E79" i="5"/>
  <c r="J78" i="5"/>
  <c r="H78" i="5"/>
  <c r="A78" i="5" s="1"/>
  <c r="F78" i="5"/>
  <c r="L78" i="5" s="1"/>
  <c r="E78" i="5"/>
  <c r="J77" i="5"/>
  <c r="H77" i="5"/>
  <c r="K77" i="5" s="1"/>
  <c r="F77" i="5"/>
  <c r="L77" i="5" s="1"/>
  <c r="E77" i="5"/>
  <c r="A77" i="5"/>
  <c r="L76" i="5"/>
  <c r="K76" i="5"/>
  <c r="J76" i="5"/>
  <c r="H76" i="5"/>
  <c r="F76" i="5"/>
  <c r="E76" i="5"/>
  <c r="L75" i="5"/>
  <c r="J75" i="5"/>
  <c r="K75" i="5" s="1"/>
  <c r="H75" i="5"/>
  <c r="F75" i="5"/>
  <c r="E75" i="5"/>
  <c r="J74" i="5"/>
  <c r="H74" i="5"/>
  <c r="A74" i="5" s="1"/>
  <c r="F74" i="5"/>
  <c r="L74" i="5" s="1"/>
  <c r="E74" i="5"/>
  <c r="J73" i="5"/>
  <c r="H73" i="5"/>
  <c r="K73" i="5" s="1"/>
  <c r="F73" i="5"/>
  <c r="L73" i="5" s="1"/>
  <c r="E73" i="5"/>
  <c r="A73" i="5"/>
  <c r="L72" i="5"/>
  <c r="K72" i="5"/>
  <c r="J72" i="5"/>
  <c r="H72" i="5"/>
  <c r="F72" i="5"/>
  <c r="E72" i="5"/>
  <c r="L71" i="5"/>
  <c r="J71" i="5"/>
  <c r="K71" i="5" s="1"/>
  <c r="H71" i="5"/>
  <c r="F71" i="5"/>
  <c r="E71" i="5"/>
  <c r="A71" i="5"/>
  <c r="J70" i="5"/>
  <c r="J112" i="5" s="1"/>
  <c r="H70" i="5"/>
  <c r="A87" i="5" s="1"/>
  <c r="F70" i="5"/>
  <c r="L70" i="5" s="1"/>
  <c r="E70" i="5"/>
  <c r="J66" i="5"/>
  <c r="L65" i="5"/>
  <c r="K65" i="5"/>
  <c r="J65" i="5"/>
  <c r="H65" i="5"/>
  <c r="A65" i="5" s="1"/>
  <c r="F65" i="5"/>
  <c r="E65" i="5"/>
  <c r="J64" i="5"/>
  <c r="H64" i="5"/>
  <c r="A64" i="5" s="1"/>
  <c r="F64" i="5"/>
  <c r="L64" i="5" s="1"/>
  <c r="E64" i="5"/>
  <c r="K63" i="5"/>
  <c r="J63" i="5"/>
  <c r="H63" i="5"/>
  <c r="F63" i="5"/>
  <c r="L63" i="5" s="1"/>
  <c r="E63" i="5"/>
  <c r="J62" i="5"/>
  <c r="H62" i="5"/>
  <c r="K62" i="5" s="1"/>
  <c r="F62" i="5"/>
  <c r="L62" i="5" s="1"/>
  <c r="E62" i="5"/>
  <c r="L61" i="5"/>
  <c r="K61" i="5"/>
  <c r="J61" i="5"/>
  <c r="H61" i="5"/>
  <c r="A61" i="5" s="1"/>
  <c r="F61" i="5"/>
  <c r="E61" i="5"/>
  <c r="J60" i="5"/>
  <c r="H60" i="5"/>
  <c r="A60" i="5" s="1"/>
  <c r="F60" i="5"/>
  <c r="L60" i="5" s="1"/>
  <c r="E60" i="5"/>
  <c r="K59" i="5"/>
  <c r="J59" i="5"/>
  <c r="H59" i="5"/>
  <c r="F59" i="5"/>
  <c r="L59" i="5" s="1"/>
  <c r="E59" i="5"/>
  <c r="J58" i="5"/>
  <c r="H58" i="5"/>
  <c r="K58" i="5" s="1"/>
  <c r="F58" i="5"/>
  <c r="L58" i="5" s="1"/>
  <c r="E58" i="5"/>
  <c r="L57" i="5"/>
  <c r="K57" i="5"/>
  <c r="J57" i="5"/>
  <c r="H57" i="5"/>
  <c r="A57" i="5" s="1"/>
  <c r="F57" i="5"/>
  <c r="E57" i="5"/>
  <c r="J56" i="5"/>
  <c r="H56" i="5"/>
  <c r="A56" i="5" s="1"/>
  <c r="F56" i="5"/>
  <c r="E56" i="5"/>
  <c r="K55" i="5"/>
  <c r="J55" i="5"/>
  <c r="H55" i="5"/>
  <c r="F55" i="5"/>
  <c r="L55" i="5" s="1"/>
  <c r="E55" i="5"/>
  <c r="J54" i="5"/>
  <c r="H54" i="5"/>
  <c r="K54" i="5" s="1"/>
  <c r="F54" i="5"/>
  <c r="L54" i="5" s="1"/>
  <c r="E54" i="5"/>
  <c r="L53" i="5"/>
  <c r="K53" i="5"/>
  <c r="J53" i="5"/>
  <c r="H53" i="5"/>
  <c r="A53" i="5" s="1"/>
  <c r="F53" i="5"/>
  <c r="E53" i="5"/>
  <c r="J52" i="5"/>
  <c r="H52" i="5"/>
  <c r="A52" i="5" s="1"/>
  <c r="F52" i="5"/>
  <c r="E52" i="5"/>
  <c r="K51" i="5"/>
  <c r="J51" i="5"/>
  <c r="H51" i="5"/>
  <c r="F51" i="5"/>
  <c r="L51" i="5" s="1"/>
  <c r="E51" i="5"/>
  <c r="J50" i="5"/>
  <c r="H50" i="5"/>
  <c r="K50" i="5" s="1"/>
  <c r="F50" i="5"/>
  <c r="L50" i="5" s="1"/>
  <c r="E50" i="5"/>
  <c r="L49" i="5"/>
  <c r="K49" i="5"/>
  <c r="J49" i="5"/>
  <c r="H49" i="5"/>
  <c r="A49" i="5" s="1"/>
  <c r="F49" i="5"/>
  <c r="E49" i="5"/>
  <c r="J48" i="5"/>
  <c r="H48" i="5"/>
  <c r="A48" i="5" s="1"/>
  <c r="F48" i="5"/>
  <c r="L48" i="5" s="1"/>
  <c r="E48" i="5"/>
  <c r="K47" i="5"/>
  <c r="J47" i="5"/>
  <c r="H47" i="5"/>
  <c r="F47" i="5"/>
  <c r="L47" i="5" s="1"/>
  <c r="E47" i="5"/>
  <c r="J46" i="5"/>
  <c r="H46" i="5"/>
  <c r="K46" i="5" s="1"/>
  <c r="F46" i="5"/>
  <c r="L46" i="5" s="1"/>
  <c r="E46" i="5"/>
  <c r="L45" i="5"/>
  <c r="K45" i="5"/>
  <c r="J45" i="5"/>
  <c r="H45" i="5"/>
  <c r="A45" i="5" s="1"/>
  <c r="F45" i="5"/>
  <c r="E45" i="5"/>
  <c r="J44" i="5"/>
  <c r="H44" i="5"/>
  <c r="A44" i="5" s="1"/>
  <c r="F44" i="5"/>
  <c r="L44" i="5" s="1"/>
  <c r="E44" i="5"/>
  <c r="K43" i="5"/>
  <c r="J43" i="5"/>
  <c r="H43" i="5"/>
  <c r="F43" i="5"/>
  <c r="L43" i="5" s="1"/>
  <c r="E43" i="5"/>
  <c r="K42" i="5"/>
  <c r="J42" i="5"/>
  <c r="H42" i="5"/>
  <c r="L42" i="5" s="1"/>
  <c r="F42" i="5"/>
  <c r="E42" i="5"/>
  <c r="L41" i="5"/>
  <c r="K41" i="5"/>
  <c r="J41" i="5"/>
  <c r="H41" i="5"/>
  <c r="A41" i="5" s="1"/>
  <c r="F41" i="5"/>
  <c r="E41" i="5"/>
  <c r="J40" i="5"/>
  <c r="H40" i="5"/>
  <c r="A40" i="5" s="1"/>
  <c r="F40" i="5"/>
  <c r="L40" i="5" s="1"/>
  <c r="E40" i="5"/>
  <c r="K39" i="5"/>
  <c r="J39" i="5"/>
  <c r="H39" i="5"/>
  <c r="F39" i="5"/>
  <c r="L39" i="5" s="1"/>
  <c r="E39" i="5"/>
  <c r="J38" i="5"/>
  <c r="H38" i="5"/>
  <c r="L38" i="5" s="1"/>
  <c r="F38" i="5"/>
  <c r="E38" i="5"/>
  <c r="L37" i="5"/>
  <c r="K37" i="5"/>
  <c r="J37" i="5"/>
  <c r="H37" i="5"/>
  <c r="A37" i="5" s="1"/>
  <c r="F37" i="5"/>
  <c r="E37" i="5"/>
  <c r="J36" i="5"/>
  <c r="H36" i="5"/>
  <c r="A43" i="5" s="1"/>
  <c r="F36" i="5"/>
  <c r="L36" i="5" s="1"/>
  <c r="E36" i="5"/>
  <c r="K35" i="5"/>
  <c r="J35" i="5"/>
  <c r="H35" i="5"/>
  <c r="A63" i="5" s="1"/>
  <c r="F35" i="5"/>
  <c r="E35" i="5"/>
  <c r="H31" i="5"/>
  <c r="J30" i="5"/>
  <c r="K30" i="5" s="1"/>
  <c r="I30" i="5"/>
  <c r="I13" i="5" s="1"/>
  <c r="H30" i="5"/>
  <c r="A30" i="5" s="1"/>
  <c r="F30" i="5"/>
  <c r="L30" i="5" s="1"/>
  <c r="E30" i="5"/>
  <c r="J29" i="5"/>
  <c r="H29" i="5"/>
  <c r="A29" i="5" s="1"/>
  <c r="F29" i="5"/>
  <c r="L29" i="5" s="1"/>
  <c r="E29" i="5"/>
  <c r="L28" i="5"/>
  <c r="J28" i="5"/>
  <c r="H28" i="5"/>
  <c r="K28" i="5" s="1"/>
  <c r="F28" i="5"/>
  <c r="E28" i="5"/>
  <c r="A28" i="5"/>
  <c r="L27" i="5"/>
  <c r="K27" i="5"/>
  <c r="J27" i="5"/>
  <c r="H27" i="5"/>
  <c r="F27" i="5"/>
  <c r="E27" i="5"/>
  <c r="J26" i="5"/>
  <c r="K26" i="5" s="1"/>
  <c r="I26" i="5"/>
  <c r="H26" i="5"/>
  <c r="A26" i="5" s="1"/>
  <c r="F26" i="5"/>
  <c r="L26" i="5" s="1"/>
  <c r="E26" i="5"/>
  <c r="J25" i="5"/>
  <c r="J31" i="5" s="1"/>
  <c r="H25" i="5"/>
  <c r="A25" i="5" s="1"/>
  <c r="F25" i="5"/>
  <c r="L25" i="5" s="1"/>
  <c r="E25" i="5"/>
  <c r="H17" i="5"/>
  <c r="F17" i="5"/>
  <c r="F16" i="5"/>
  <c r="H13" i="5"/>
  <c r="F13" i="5"/>
  <c r="F7" i="5"/>
  <c r="F6" i="5"/>
  <c r="I111" i="5" s="1"/>
  <c r="F5" i="5"/>
  <c r="G127" i="5" s="1"/>
  <c r="U16" i="3"/>
  <c r="U15" i="3"/>
  <c r="U14" i="3"/>
  <c r="S11" i="3"/>
  <c r="S10" i="3"/>
  <c r="S9" i="3"/>
  <c r="S8" i="3"/>
  <c r="S7" i="3"/>
  <c r="S6" i="3"/>
  <c r="S5" i="3"/>
  <c r="S4" i="3"/>
  <c r="S3" i="3"/>
  <c r="G30" i="2"/>
  <c r="F30" i="2" s="1"/>
  <c r="G29" i="2"/>
  <c r="F29" i="2" s="1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I6" i="2"/>
  <c r="H6" i="2"/>
  <c r="G6" i="2"/>
  <c r="F6" i="2"/>
  <c r="K31" i="5" l="1"/>
  <c r="F15" i="5"/>
  <c r="G98" i="5"/>
  <c r="G102" i="5"/>
  <c r="G106" i="5"/>
  <c r="G110" i="5"/>
  <c r="G29" i="5"/>
  <c r="I52" i="5"/>
  <c r="I64" i="5"/>
  <c r="I15" i="5"/>
  <c r="I17" i="5"/>
  <c r="G35" i="5"/>
  <c r="A38" i="5"/>
  <c r="G39" i="5"/>
  <c r="A42" i="5"/>
  <c r="G43" i="5"/>
  <c r="A46" i="5"/>
  <c r="G47" i="5"/>
  <c r="A50" i="5"/>
  <c r="G51" i="5"/>
  <c r="A54" i="5"/>
  <c r="G55" i="5"/>
  <c r="A58" i="5"/>
  <c r="G59" i="5"/>
  <c r="A62" i="5"/>
  <c r="G63" i="5"/>
  <c r="F66" i="5"/>
  <c r="L66" i="5" s="1"/>
  <c r="I70" i="5"/>
  <c r="I74" i="5"/>
  <c r="I78" i="5"/>
  <c r="I82" i="5"/>
  <c r="I86" i="5"/>
  <c r="I90" i="5"/>
  <c r="I94" i="5"/>
  <c r="I98" i="5"/>
  <c r="I102" i="5"/>
  <c r="I106" i="5"/>
  <c r="I110" i="5"/>
  <c r="K117" i="5"/>
  <c r="A125" i="5"/>
  <c r="G126" i="5"/>
  <c r="G78" i="5"/>
  <c r="G90" i="5"/>
  <c r="H15" i="5"/>
  <c r="G25" i="5"/>
  <c r="I40" i="5"/>
  <c r="I60" i="5"/>
  <c r="G116" i="5"/>
  <c r="F8" i="5"/>
  <c r="K13" i="5"/>
  <c r="K15" i="5"/>
  <c r="K17" i="5"/>
  <c r="I25" i="5"/>
  <c r="I29" i="5"/>
  <c r="K36" i="5"/>
  <c r="K40" i="5"/>
  <c r="H18" i="5" s="1" a="1"/>
  <c r="H18" i="5" s="1"/>
  <c r="K44" i="5"/>
  <c r="K48" i="5"/>
  <c r="K52" i="5"/>
  <c r="K56" i="5"/>
  <c r="K60" i="5"/>
  <c r="K64" i="5"/>
  <c r="A72" i="5"/>
  <c r="G73" i="5"/>
  <c r="A76" i="5"/>
  <c r="G77" i="5"/>
  <c r="A80" i="5"/>
  <c r="G81" i="5"/>
  <c r="A84" i="5"/>
  <c r="G85" i="5"/>
  <c r="A88" i="5"/>
  <c r="G89" i="5"/>
  <c r="A92" i="5"/>
  <c r="G93" i="5"/>
  <c r="A96" i="5"/>
  <c r="G97" i="5"/>
  <c r="A100" i="5"/>
  <c r="G101" i="5"/>
  <c r="A104" i="5"/>
  <c r="G105" i="5"/>
  <c r="A108" i="5"/>
  <c r="G109" i="5"/>
  <c r="F112" i="5"/>
  <c r="I116" i="5"/>
  <c r="L117" i="5"/>
  <c r="K127" i="5"/>
  <c r="G82" i="5"/>
  <c r="I44" i="5"/>
  <c r="I56" i="5"/>
  <c r="I127" i="5"/>
  <c r="E12" i="5" a="1"/>
  <c r="E12" i="5" s="1"/>
  <c r="E14" i="5" a="1"/>
  <c r="E14" i="5" s="1"/>
  <c r="E16" i="5" a="1"/>
  <c r="E16" i="5" s="1"/>
  <c r="A27" i="5"/>
  <c r="G28" i="5"/>
  <c r="F31" i="5"/>
  <c r="L31" i="5" s="1"/>
  <c r="I35" i="5"/>
  <c r="I14" i="5" s="1"/>
  <c r="I39" i="5"/>
  <c r="I43" i="5"/>
  <c r="I47" i="5"/>
  <c r="I51" i="5"/>
  <c r="L52" i="5"/>
  <c r="I55" i="5"/>
  <c r="L56" i="5"/>
  <c r="I59" i="5"/>
  <c r="I63" i="5"/>
  <c r="H66" i="5"/>
  <c r="K66" i="5" s="1"/>
  <c r="K70" i="5"/>
  <c r="K16" i="5" s="1"/>
  <c r="K74" i="5"/>
  <c r="K78" i="5"/>
  <c r="K82" i="5"/>
  <c r="K86" i="5"/>
  <c r="K90" i="5"/>
  <c r="K94" i="5"/>
  <c r="K98" i="5"/>
  <c r="K102" i="5"/>
  <c r="K106" i="5"/>
  <c r="K110" i="5"/>
  <c r="G119" i="5"/>
  <c r="I126" i="5"/>
  <c r="I36" i="5"/>
  <c r="I48" i="5"/>
  <c r="K25" i="5"/>
  <c r="K12" i="5" s="1"/>
  <c r="K29" i="5"/>
  <c r="G38" i="5"/>
  <c r="G42" i="5"/>
  <c r="G46" i="5"/>
  <c r="G50" i="5"/>
  <c r="G54" i="5"/>
  <c r="G58" i="5"/>
  <c r="G62" i="5"/>
  <c r="I73" i="5"/>
  <c r="I77" i="5"/>
  <c r="I81" i="5"/>
  <c r="I85" i="5"/>
  <c r="I89" i="5"/>
  <c r="I93" i="5"/>
  <c r="I97" i="5"/>
  <c r="I101" i="5"/>
  <c r="I105" i="5"/>
  <c r="I109" i="5"/>
  <c r="H112" i="5"/>
  <c r="K112" i="5" s="1"/>
  <c r="K116" i="5"/>
  <c r="A124" i="5"/>
  <c r="G125" i="5"/>
  <c r="G86" i="5"/>
  <c r="F12" i="5"/>
  <c r="F14" i="5"/>
  <c r="I28" i="5"/>
  <c r="A75" i="5"/>
  <c r="G76" i="5"/>
  <c r="A91" i="5"/>
  <c r="G92" i="5"/>
  <c r="A95" i="5"/>
  <c r="A99" i="5"/>
  <c r="G100" i="5"/>
  <c r="A103" i="5"/>
  <c r="G104" i="5"/>
  <c r="H12" i="5"/>
  <c r="H14" i="5"/>
  <c r="H16" i="5"/>
  <c r="I19" i="5" a="1"/>
  <c r="I19" i="5" s="1"/>
  <c r="G27" i="5"/>
  <c r="L35" i="5"/>
  <c r="I38" i="5"/>
  <c r="I42" i="5"/>
  <c r="I46" i="5"/>
  <c r="I50" i="5"/>
  <c r="I54" i="5"/>
  <c r="I58" i="5"/>
  <c r="I62" i="5"/>
  <c r="G118" i="5"/>
  <c r="I125" i="5"/>
  <c r="G70" i="5"/>
  <c r="A79" i="5"/>
  <c r="G80" i="5"/>
  <c r="A107" i="5"/>
  <c r="G108" i="5"/>
  <c r="A111" i="5"/>
  <c r="L116" i="5"/>
  <c r="I119" i="5"/>
  <c r="I12" i="5"/>
  <c r="I16" i="5"/>
  <c r="A36" i="5"/>
  <c r="G37" i="5"/>
  <c r="G41" i="5"/>
  <c r="G45" i="5"/>
  <c r="G49" i="5"/>
  <c r="G53" i="5"/>
  <c r="G57" i="5"/>
  <c r="G61" i="5"/>
  <c r="G65" i="5"/>
  <c r="I72" i="5"/>
  <c r="I76" i="5"/>
  <c r="I80" i="5"/>
  <c r="I84" i="5"/>
  <c r="I88" i="5"/>
  <c r="I92" i="5"/>
  <c r="I96" i="5"/>
  <c r="I100" i="5"/>
  <c r="I104" i="5"/>
  <c r="I108" i="5"/>
  <c r="G124" i="5"/>
  <c r="G128" i="5" s="1"/>
  <c r="A70" i="5"/>
  <c r="G71" i="5"/>
  <c r="G75" i="5"/>
  <c r="G79" i="5"/>
  <c r="G83" i="5"/>
  <c r="G87" i="5"/>
  <c r="G91" i="5"/>
  <c r="G95" i="5"/>
  <c r="G99" i="5"/>
  <c r="G103" i="5"/>
  <c r="G107" i="5"/>
  <c r="G111" i="5"/>
  <c r="I118" i="5"/>
  <c r="K125" i="5"/>
  <c r="G74" i="5"/>
  <c r="A83" i="5"/>
  <c r="G84" i="5"/>
  <c r="G88" i="5"/>
  <c r="K14" i="5"/>
  <c r="I27" i="5"/>
  <c r="K38" i="5"/>
  <c r="E13" i="5" a="1"/>
  <c r="E13" i="5" s="1"/>
  <c r="E15" i="5" a="1"/>
  <c r="E15" i="5" s="1"/>
  <c r="E17" i="5" a="1"/>
  <c r="E17" i="5" s="1"/>
  <c r="G26" i="5"/>
  <c r="G30" i="5"/>
  <c r="I37" i="5"/>
  <c r="I41" i="5"/>
  <c r="I45" i="5"/>
  <c r="I49" i="5"/>
  <c r="I53" i="5"/>
  <c r="I57" i="5"/>
  <c r="I61" i="5"/>
  <c r="I65" i="5"/>
  <c r="G117" i="5"/>
  <c r="I124" i="5"/>
  <c r="G94" i="5"/>
  <c r="G72" i="5"/>
  <c r="G96" i="5"/>
  <c r="A35" i="5"/>
  <c r="G36" i="5"/>
  <c r="A39" i="5"/>
  <c r="G40" i="5"/>
  <c r="G44" i="5"/>
  <c r="A47" i="5"/>
  <c r="G48" i="5"/>
  <c r="A51" i="5"/>
  <c r="G52" i="5"/>
  <c r="A55" i="5"/>
  <c r="G56" i="5"/>
  <c r="A59" i="5"/>
  <c r="G60" i="5"/>
  <c r="G64" i="5"/>
  <c r="I71" i="5"/>
  <c r="I75" i="5"/>
  <c r="I79" i="5"/>
  <c r="I83" i="5"/>
  <c r="I87" i="5"/>
  <c r="I91" i="5"/>
  <c r="I95" i="5"/>
  <c r="I99" i="5"/>
  <c r="I103" i="5"/>
  <c r="I107" i="5"/>
  <c r="F18" i="5" l="1" a="1"/>
  <c r="F18" i="5" s="1"/>
  <c r="K18" i="5"/>
  <c r="G112" i="5"/>
  <c r="E19" i="5" a="1"/>
  <c r="E19" i="5" s="1"/>
  <c r="I31" i="5"/>
  <c r="H19" i="5" a="1"/>
  <c r="H19" i="5" s="1"/>
  <c r="F19" i="5" a="1"/>
  <c r="F19" i="5" s="1"/>
  <c r="I112" i="5"/>
  <c r="I120" i="5"/>
  <c r="G31" i="5"/>
  <c r="I128" i="5"/>
  <c r="I66" i="5"/>
  <c r="L112" i="5"/>
  <c r="G120" i="5"/>
  <c r="K19" i="5"/>
  <c r="E18" i="5" a="1"/>
  <c r="E18" i="5" s="1"/>
  <c r="G66" i="5"/>
  <c r="I18" i="5" a="1"/>
  <c r="I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<sst xmlns="http://schemas.openxmlformats.org/spreadsheetml/2006/main" count="262" uniqueCount="110">
  <si>
    <t>WIDTH</t>
  </si>
  <si>
    <t>LENGTH</t>
  </si>
  <si>
    <t>BATCH /CROSS</t>
  </si>
  <si>
    <t>BATCH /FLOW</t>
  </si>
  <si>
    <t>SINGLE /CROSS</t>
  </si>
  <si>
    <t>SINGLE /FLOW</t>
  </si>
  <si>
    <t>ON 1, 3</t>
  </si>
  <si>
    <t>ON 1, 2, 3</t>
  </si>
  <si>
    <t>ON 1, 2</t>
  </si>
  <si>
    <t>Mu</t>
  </si>
  <si>
    <t>Cos หลังขาว</t>
  </si>
  <si>
    <t>1-56"</t>
  </si>
  <si>
    <t>ON 1</t>
  </si>
  <si>
    <t>56-80"</t>
  </si>
  <si>
    <t>&gt;80"</t>
  </si>
  <si>
    <t>M1030</t>
  </si>
  <si>
    <t>M1031</t>
  </si>
  <si>
    <t>M1032</t>
  </si>
  <si>
    <t>M1033</t>
  </si>
  <si>
    <t>M1034</t>
  </si>
  <si>
    <t>STANDARD LOADING GAP BY SIZE</t>
  </si>
  <si>
    <t>TYPE</t>
  </si>
  <si>
    <t>SIZE</t>
  </si>
  <si>
    <t>STANDARD LOADING</t>
  </si>
  <si>
    <t>LOADING PATTERN</t>
  </si>
  <si>
    <t>OF LOADING</t>
  </si>
  <si>
    <t>L
(inch)</t>
  </si>
  <si>
    <t>W
(inch)</t>
  </si>
  <si>
    <t>PULSE</t>
  </si>
  <si>
    <t>(Cross)</t>
  </si>
  <si>
    <t>(Flow)</t>
  </si>
  <si>
    <t>pcs /row</t>
  </si>
  <si>
    <t>row /batch</t>
  </si>
  <si>
    <t>Gap X (inch)</t>
  </si>
  <si>
    <t>Gap Y (inch)</t>
  </si>
  <si>
    <t>Batch</t>
  </si>
  <si>
    <t>x</t>
  </si>
  <si>
    <t>Single</t>
  </si>
  <si>
    <t>Single/ Combine</t>
  </si>
  <si>
    <t xml:space="preserve">n </t>
  </si>
  <si>
    <t>(MM)</t>
  </si>
  <si>
    <t>หน้ากว้าง 96 นิ้ว</t>
  </si>
  <si>
    <t>sensor2</t>
  </si>
  <si>
    <t>sensor3</t>
  </si>
  <si>
    <t>inch</t>
  </si>
  <si>
    <t>cm</t>
  </si>
  <si>
    <t>from Left</t>
  </si>
  <si>
    <t>sensor 1</t>
  </si>
  <si>
    <t>sensor 2</t>
  </si>
  <si>
    <t>sensor 3</t>
  </si>
  <si>
    <t>Size Insight: สรุปการผลิตแยกตามขนาด / ความหนา</t>
  </si>
  <si>
    <t>ที่มา: Sheet1 (230 jobs) | 'ผลิตมาก/น้อย' วัดจาก Exp.prod.time รวม (นาที) เพราะไม่มีคอลัมน์จำนวนชิ้น | Loss % = Loss time ÷ Exp.prod.time</t>
  </si>
  <si>
    <t>ภาพรวม (Overview)</t>
  </si>
  <si>
    <t>สรุป Insight</t>
  </si>
  <si>
    <t>จำนวน jobs ทั้งหมด</t>
  </si>
  <si>
    <t>1) 5 mm เป็นความหนาหลัก: 116 jobs (50%) และ 56% ของเวลาผลิต ถ้ารวม 6 mm ด้วยจะเป็น 88% ของเวลาผลิตทั้งหมด</t>
  </si>
  <si>
    <t>Exp.prod.time รวม (min)</t>
  </si>
  <si>
    <t>2) ความหนาอื่น (1.1 / 2 / 3 / 4 mm) รวมกันแค่ ~12% และ 4 mm มีแค่ 1 job (105 นาที) จึงเป็นความหนาที่ผลิตน้อยที่สุด</t>
  </si>
  <si>
    <t>Loss time รวม (min)</t>
  </si>
  <si>
    <t>3) ขนาด 84 x 120 ผลิตมากที่สุด: 49 jobs, 27% ของเวลาผลิต มากกว่าอันดับ 2 (96 x 144, 12%) ราว 2 เท่า</t>
  </si>
  <si>
    <t>Loss % ของเวลาผลิต</t>
  </si>
  <si>
    <t xml:space="preserve">    เฉพาะ spec 5mm 84 x 120 อย่างเดียวคิดเป็น 19% ของเวลาผลิตทั้งหมด</t>
  </si>
  <si>
    <t>4) 6 ขนาดแรกครอบคลุม ~69% ของเวลาผลิต ส่วนอีก 13 จาก 31 ขนาดผลิตแค่ครั้งเดียว (long tail ทำให้ต้อง job change บ่อย)</t>
  </si>
  <si>
    <t>Key insights (คำนวณอัตโนมัติจากตารางด้านล่าง)</t>
  </si>
  <si>
    <t>5) ขนาดที่ผลิตน้อยที่สุด: 30 x 40 และ 48 x 32 (อย่างละ 1 job, 40 นาที); spec ที่น้อยที่สุดคือ 5mm 60 x 120 (30 นาที)</t>
  </si>
  <si>
    <t>หัวข้อ</t>
  </si>
  <si>
    <t>ผลลัพธ์</t>
  </si>
  <si>
    <t>Jobs</t>
  </si>
  <si>
    <t>Exp.prod.time (min)</t>
  </si>
  <si>
    <t>% เวลาผลิต</t>
  </si>
  <si>
    <t>Loss %</t>
  </si>
  <si>
    <t>6) Loss time รวม 14.8% ของเวลาผลิต: 96 x 144 มี Loss % สูงสุด 23.7% (ในขนาดที่มี ≥5 jobs)</t>
  </si>
  <si>
    <t>ความหนาที่ผลิตมากที่สุด</t>
  </si>
  <si>
    <t xml:space="preserve">    ทั้งที่เป็นขนาดอันดับ 2 จึงควรดูเป็นอันดับแรก ส่วน 30 x 60 มี Loss % ต่ำสุด 6.2%</t>
  </si>
  <si>
    <t>ความหนาที่ผลิตน้อยที่สุด</t>
  </si>
  <si>
    <t>7) Type D คิดเป็น ~74% ของเวลาผลิต และสี Clear ~84%</t>
  </si>
  <si>
    <t>ขนาด W×D ที่ผลิตมากที่สุด</t>
  </si>
  <si>
    <t>หมายเหตุ: 43 x 49 กับ 49 x 43 น่าจะเป็นขนาดเดียวกันที่บันทึก W/D สลับกัน (รวม 5 jobs, 2,275 นาที) ผมแยกไว้ตามที่บันทึก</t>
  </si>
  <si>
    <t>ขนาด W×D ที่ผลิตน้อยที่สุด</t>
  </si>
  <si>
    <t>แถวสีเขียว/แดงในตาราง = ผลิตมากสุด/น้อยสุด (ตามเวลาผลิต); แถบในคอลัมน์ Loss % = ขนาดของ Loss %</t>
  </si>
  <si>
    <t>Spec ที่ผลิตมากที่สุด</t>
  </si>
  <si>
    <t>Spec ที่ผลิตน้อยที่สุด</t>
  </si>
  <si>
    <t>ขนาด W×D ที่ Loss % สูงสุด*</t>
  </si>
  <si>
    <t>ขนาด W×D ที่ Loss % ต่ำสุด*</t>
  </si>
  <si>
    <t>* นับเฉพาะขนาดที่มี jobs อย่างน้อย (ปรับได้)</t>
  </si>
  <si>
    <t>1) แยกตามความหนา (mm)</t>
  </si>
  <si>
    <t>Rank</t>
  </si>
  <si>
    <t>mm</t>
  </si>
  <si>
    <t>W</t>
  </si>
  <si>
    <t>D</t>
  </si>
  <si>
    <t>ความหนา</t>
  </si>
  <si>
    <t>% Jobs</t>
  </si>
  <si>
    <t>Loss time (min)</t>
  </si>
  <si>
    <t>เฉลี่ย/job (min)</t>
  </si>
  <si>
    <t>Total</t>
  </si>
  <si>
    <t>2) แยกตามขนาด W × D (ไม่แยกความหนา)</t>
  </si>
  <si>
    <t>Size</t>
  </si>
  <si>
    <t>3) แยกตาม Spec เต็ม (mm + W × D)</t>
  </si>
  <si>
    <t>Spec</t>
  </si>
  <si>
    <t>4) แยกตาม Type</t>
  </si>
  <si>
    <t>Type</t>
  </si>
  <si>
    <t>T</t>
  </si>
  <si>
    <t>C</t>
  </si>
  <si>
    <t>M</t>
  </si>
  <si>
    <t>5) แยกตามสี (Color)</t>
  </si>
  <si>
    <t>Color</t>
  </si>
  <si>
    <t>Clear</t>
  </si>
  <si>
    <t>Bronze</t>
  </si>
  <si>
    <t>Dark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</si>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</sst>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Tahoma"/>
      <family val="2"/>
    </font>
    <font>
      <sz val="12"/>
      <color theme="1"/>
      <name val="Tahoma"/>
      <family val="2"/>
    </font>
    <font>
      <b/>
      <sz val="18"/>
      <color theme="1"/>
      <name val="Tahoma"/>
      <family val="2"/>
    </font>
    <font>
      <b/>
      <sz val="11"/>
      <color theme="1"/>
      <name val="Tahoma"/>
      <family val="2"/>
    </font>
    <font>
      <b/>
      <sz val="11"/>
      <color rgb="FF0000CC"/>
      <name val="Tahoma"/>
      <family val="2"/>
    </font>
    <font>
      <b/>
      <sz val="11"/>
      <name val="Tahoma"/>
      <family val="2"/>
    </font>
    <font>
      <b/>
      <sz val="12"/>
      <color theme="1"/>
      <name val="Tahoma"/>
      <family val="2"/>
    </font>
    <font>
      <sz val="11"/>
      <name val="Tahoma"/>
      <family val="2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0"/>
      <color theme="1"/>
      <name val="Aptos Narrow"/>
      <scheme val="minor"/>
    </font>
    <font>
      <i/>
      <sz val="10"/>
      <color rgb="FF595959"/>
      <name val="Aptos Narrow"/>
      <scheme val="minor"/>
    </font>
    <font>
      <b/>
      <sz val="10"/>
      <color rgb="FFFFFFFF"/>
      <name val="Aptos Narrow"/>
      <scheme val="minor"/>
    </font>
    <font>
      <b/>
      <sz val="10"/>
      <color theme="1"/>
      <name val="Aptos Narrow"/>
      <scheme val="minor"/>
    </font>
    <font>
      <sz val="10"/>
      <color rgb="FF000000"/>
      <name val="Aptos Narrow"/>
      <scheme val="minor"/>
    </font>
    <font>
      <b/>
      <sz val="10"/>
      <color rgb="FF1F3864"/>
      <name val="Aptos Narrow"/>
      <scheme val="minor"/>
    </font>
    <font>
      <i/>
      <sz val="10"/>
      <color theme="1"/>
      <name val="Aptos Narrow"/>
      <scheme val="minor"/>
    </font>
    <font>
      <sz val="10"/>
      <color rgb="FF0000FF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2" xfId="0" applyFont="1" applyBorder="1" applyAlignment="1">
      <alignment vertical="top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top"/>
    </xf>
    <xf numFmtId="0" fontId="11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1" fontId="6" fillId="2" borderId="4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5" fillId="0" borderId="6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" fontId="6" fillId="2" borderId="1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1" fontId="6" fillId="2" borderId="9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1" fontId="6" fillId="2" borderId="11" xfId="0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9" fillId="0" borderId="0" xfId="0" applyFont="1"/>
    <xf numFmtId="0" fontId="0" fillId="6" borderId="0" xfId="0" applyFill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8" xfId="0" applyFill="1" applyBorder="1"/>
    <xf numFmtId="0" fontId="0" fillId="6" borderId="19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3" fillId="6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7" borderId="0" xfId="0" applyFont="1" applyFill="1"/>
    <xf numFmtId="3" fontId="18" fillId="0" borderId="0" xfId="0" applyNumberFormat="1" applyFont="1"/>
    <xf numFmtId="164" fontId="18" fillId="0" borderId="0" xfId="0" applyNumberFormat="1" applyFont="1"/>
    <xf numFmtId="0" fontId="18" fillId="8" borderId="0" xfId="0" applyFont="1" applyFill="1" applyAlignment="1">
      <alignment horizontal="center" vertical="center" wrapText="1"/>
    </xf>
    <xf numFmtId="0" fontId="19" fillId="0" borderId="0" xfId="0" applyFont="1"/>
    <xf numFmtId="0" fontId="15" fillId="0" borderId="20" xfId="0" applyFont="1" applyBorder="1"/>
    <xf numFmtId="0" fontId="20" fillId="0" borderId="20" xfId="0" applyFont="1" applyBorder="1"/>
    <xf numFmtId="3" fontId="15" fillId="0" borderId="20" xfId="0" applyNumberFormat="1" applyFont="1" applyBorder="1"/>
    <xf numFmtId="164" fontId="15" fillId="0" borderId="20" xfId="0" applyNumberFormat="1" applyFont="1" applyBorder="1"/>
    <xf numFmtId="0" fontId="15" fillId="0" borderId="21" xfId="0" applyFont="1" applyBorder="1"/>
    <xf numFmtId="0" fontId="20" fillId="0" borderId="21" xfId="0" applyFont="1" applyBorder="1"/>
    <xf numFmtId="3" fontId="15" fillId="0" borderId="21" xfId="0" applyNumberFormat="1" applyFont="1" applyBorder="1"/>
    <xf numFmtId="164" fontId="15" fillId="0" borderId="21" xfId="0" applyNumberFormat="1" applyFont="1" applyBorder="1"/>
    <xf numFmtId="0" fontId="15" fillId="0" borderId="22" xfId="0" applyFont="1" applyBorder="1"/>
    <xf numFmtId="0" fontId="20" fillId="0" borderId="22" xfId="0" applyFont="1" applyBorder="1"/>
    <xf numFmtId="3" fontId="15" fillId="0" borderId="22" xfId="0" applyNumberFormat="1" applyFont="1" applyBorder="1"/>
    <xf numFmtId="164" fontId="15" fillId="0" borderId="22" xfId="0" applyNumberFormat="1" applyFont="1" applyBorder="1"/>
    <xf numFmtId="0" fontId="21" fillId="0" borderId="0" xfId="0" applyFont="1"/>
    <xf numFmtId="0" fontId="22" fillId="2" borderId="0" xfId="0" applyFont="1" applyFill="1"/>
    <xf numFmtId="0" fontId="15" fillId="0" borderId="0" xfId="0" applyFont="1" applyAlignment="1">
      <alignment horizontal="center"/>
    </xf>
    <xf numFmtId="3" fontId="15" fillId="0" borderId="0" xfId="0" applyNumberFormat="1" applyFont="1"/>
    <xf numFmtId="164" fontId="15" fillId="0" borderId="0" xfId="0" applyNumberFormat="1" applyFont="1"/>
    <xf numFmtId="0" fontId="18" fillId="0" borderId="23" xfId="0" applyFont="1" applyBorder="1" applyAlignment="1">
      <alignment horizontal="center"/>
    </xf>
    <xf numFmtId="0" fontId="18" fillId="0" borderId="23" xfId="0" applyFont="1" applyBorder="1"/>
    <xf numFmtId="3" fontId="18" fillId="0" borderId="23" xfId="0" applyNumberFormat="1" applyFont="1" applyBorder="1"/>
    <xf numFmtId="164" fontId="18" fillId="0" borderId="23" xfId="0" applyNumberFormat="1" applyFont="1" applyBorder="1"/>
  </cellXfs>
  <cellStyles count="1">
    <cellStyle name="Normal" xfId="0" builtinId="0"/>
  </cellStyles>
  <dxfs count="10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</a:t>
            </a:r>
            <a:r>
              <a:rPr lang="th-TH"/>
              <a:t>ขนาด </a:t>
            </a:r>
            <a:r>
              <a:rPr lang="en-US"/>
              <a:t>W × D </a:t>
            </a:r>
            <a:r>
              <a:rPr lang="th-TH"/>
              <a:t>ตามเวลาผลิต (</a:t>
            </a:r>
            <a:r>
              <a:rPr lang="en-US"/>
              <a:t>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Exp.prod.time (min)</c:v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'Size Insight'!$E$35:$E$44</c:f>
              <c:strCache>
                <c:ptCount val="10"/>
                <c:pt idx="0">
                  <c:v>84 x 120</c:v>
                </c:pt>
                <c:pt idx="1">
                  <c:v>96 x 144</c:v>
                </c:pt>
                <c:pt idx="2">
                  <c:v>96 x 84</c:v>
                </c:pt>
                <c:pt idx="3">
                  <c:v>72 x 120</c:v>
                </c:pt>
                <c:pt idx="4">
                  <c:v>96 x 72</c:v>
                </c:pt>
                <c:pt idx="5">
                  <c:v>96 x 120</c:v>
                </c:pt>
                <c:pt idx="6">
                  <c:v>84 x 72</c:v>
                </c:pt>
                <c:pt idx="7">
                  <c:v>30 x 60</c:v>
                </c:pt>
                <c:pt idx="8">
                  <c:v>43 x 49</c:v>
                </c:pt>
                <c:pt idx="9">
                  <c:v>84 x 126</c:v>
                </c:pt>
              </c:strCache>
            </c:strRef>
          </c:cat>
          <c:val>
            <c:numRef>
              <c:f>'Size Insight'!$H$35:$H$44</c:f>
              <c:numCache>
                <c:formatCode>#,##0</c:formatCode>
                <c:ptCount val="10"/>
                <c:pt idx="0">
                  <c:v>12265</c:v>
                </c:pt>
                <c:pt idx="1">
                  <c:v>5327</c:v>
                </c:pt>
                <c:pt idx="2">
                  <c:v>3870</c:v>
                </c:pt>
                <c:pt idx="3">
                  <c:v>3673</c:v>
                </c:pt>
                <c:pt idx="4">
                  <c:v>3668</c:v>
                </c:pt>
                <c:pt idx="5">
                  <c:v>2816</c:v>
                </c:pt>
                <c:pt idx="6">
                  <c:v>1960</c:v>
                </c:pt>
                <c:pt idx="7">
                  <c:v>1925</c:v>
                </c:pt>
                <c:pt idx="8">
                  <c:v>1540</c:v>
                </c:pt>
                <c:pt idx="9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9-4683-90B5-38B2C8523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7123167"/>
        <c:axId val="1582812591"/>
      </c:barChart>
      <c:catAx>
        <c:axId val="17771231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812591"/>
        <c:crosses val="autoZero"/>
        <c:auto val="1"/>
        <c:lblAlgn val="ctr"/>
        <c:lblOffset val="100"/>
        <c:noMultiLvlLbl val="0"/>
      </c:catAx>
      <c:valAx>
        <c:axId val="15828125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2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16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A3CF6-BFFB-404F-AD1D-55683E661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430430</xdr:colOff>
      <xdr:row>21</xdr:row>
      <xdr:rowOff>4354</xdr:rowOff>
    </xdr:from>
    <xdr:to>
      <xdr:col>17</xdr:col>
      <xdr:colOff>438498</xdr:colOff>
      <xdr:row>23</xdr:row>
      <xdr:rowOff>91439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3B8E917-53DB-4D0C-ACC9-5E18DCADB95A}"/>
            </a:ext>
          </a:extLst>
        </xdr:cNvPr>
        <xdr:cNvSpPr/>
      </xdr:nvSpPr>
      <xdr:spPr>
        <a:xfrm>
          <a:off x="6983630" y="3860074"/>
          <a:ext cx="3574228" cy="45284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36</a:t>
          </a:r>
          <a:r>
            <a:rPr lang="th-TH" sz="2000">
              <a:solidFill>
                <a:sysClr val="windowText" lastClr="000000"/>
              </a:solidFill>
            </a:rPr>
            <a:t>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213360</xdr:colOff>
      <xdr:row>18</xdr:row>
      <xdr:rowOff>7620</xdr:rowOff>
    </xdr:from>
    <xdr:to>
      <xdr:col>11</xdr:col>
      <xdr:colOff>218560</xdr:colOff>
      <xdr:row>20</xdr:row>
      <xdr:rowOff>99060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8847C56-0735-4044-B386-6E77A9D3FDB6}"/>
            </a:ext>
          </a:extLst>
        </xdr:cNvPr>
        <xdr:cNvSpPr/>
      </xdr:nvSpPr>
      <xdr:spPr>
        <a:xfrm>
          <a:off x="3794760" y="3314700"/>
          <a:ext cx="2977000" cy="4572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30</a:t>
          </a:r>
          <a:r>
            <a:rPr lang="en-US" sz="2000" baseline="0">
              <a:solidFill>
                <a:sysClr val="windowText" lastClr="000000"/>
              </a:solidFill>
            </a:rPr>
            <a:t> </a:t>
          </a:r>
          <a:r>
            <a:rPr lang="th-TH" sz="2000">
              <a:solidFill>
                <a:sysClr val="windowText" lastClr="000000"/>
              </a:solidFill>
            </a:rPr>
            <a:t>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609599</xdr:colOff>
      <xdr:row>2</xdr:row>
      <xdr:rowOff>192156</xdr:rowOff>
    </xdr:from>
    <xdr:to>
      <xdr:col>8</xdr:col>
      <xdr:colOff>598070</xdr:colOff>
      <xdr:row>5</xdr:row>
      <xdr:rowOff>83299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64BDB3B-6D41-4B1D-AC20-673CBCD069BD}"/>
            </a:ext>
          </a:extLst>
        </xdr:cNvPr>
        <xdr:cNvSpPr/>
      </xdr:nvSpPr>
      <xdr:spPr>
        <a:xfrm>
          <a:off x="609599" y="565536"/>
          <a:ext cx="4758591" cy="44740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2000">
              <a:solidFill>
                <a:sysClr val="windowText" lastClr="000000"/>
              </a:solidFill>
            </a:rPr>
            <a:t>48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165653</xdr:colOff>
      <xdr:row>2</xdr:row>
      <xdr:rowOff>192155</xdr:rowOff>
    </xdr:from>
    <xdr:to>
      <xdr:col>17</xdr:col>
      <xdr:colOff>160749</xdr:colOff>
      <xdr:row>5</xdr:row>
      <xdr:rowOff>83298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298E249-4C82-44ED-930D-E158891D1FD5}"/>
            </a:ext>
          </a:extLst>
        </xdr:cNvPr>
        <xdr:cNvSpPr/>
      </xdr:nvSpPr>
      <xdr:spPr>
        <a:xfrm>
          <a:off x="5530133" y="565535"/>
          <a:ext cx="4749976" cy="44740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2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48 นิ้ว</a:t>
          </a:r>
          <a:endParaRPr lang="en-US" sz="20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7</xdr:col>
      <xdr:colOff>597541</xdr:colOff>
      <xdr:row>9</xdr:row>
      <xdr:rowOff>87086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501965F-6374-4BBA-B381-754A986681A1}"/>
            </a:ext>
          </a:extLst>
        </xdr:cNvPr>
        <xdr:cNvSpPr/>
      </xdr:nvSpPr>
      <xdr:spPr>
        <a:xfrm>
          <a:off x="609600" y="1295400"/>
          <a:ext cx="4163701" cy="4528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42</a:t>
          </a:r>
          <a:r>
            <a:rPr lang="th-TH" sz="2000">
              <a:solidFill>
                <a:sysClr val="windowText" lastClr="000000"/>
              </a:solidFill>
            </a:rPr>
            <a:t>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192158</xdr:colOff>
      <xdr:row>7</xdr:row>
      <xdr:rowOff>0</xdr:rowOff>
    </xdr:from>
    <xdr:to>
      <xdr:col>15</xdr:col>
      <xdr:colOff>186724</xdr:colOff>
      <xdr:row>9</xdr:row>
      <xdr:rowOff>87086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A0DB3D0-EE83-4503-97B0-D4B7E580B4A3}"/>
            </a:ext>
          </a:extLst>
        </xdr:cNvPr>
        <xdr:cNvSpPr/>
      </xdr:nvSpPr>
      <xdr:spPr>
        <a:xfrm>
          <a:off x="4962278" y="1295400"/>
          <a:ext cx="4155086" cy="4528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42</a:t>
          </a:r>
          <a:r>
            <a:rPr lang="th-TH" sz="2000">
              <a:solidFill>
                <a:sysClr val="windowText" lastClr="000000"/>
              </a:solidFill>
            </a:rPr>
            <a:t>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8</xdr:col>
      <xdr:colOff>95151</xdr:colOff>
      <xdr:row>13</xdr:row>
      <xdr:rowOff>87086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62FC6CF-DF35-481A-A739-5879DCDBE800}"/>
            </a:ext>
          </a:extLst>
        </xdr:cNvPr>
        <xdr:cNvSpPr/>
      </xdr:nvSpPr>
      <xdr:spPr>
        <a:xfrm>
          <a:off x="609600" y="2026920"/>
          <a:ext cx="4255671" cy="4528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43</a:t>
          </a:r>
          <a:r>
            <a:rPr lang="th-TH" sz="2000">
              <a:solidFill>
                <a:sysClr val="windowText" lastClr="000000"/>
              </a:solidFill>
            </a:rPr>
            <a:t>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291548</xdr:colOff>
      <xdr:row>11</xdr:row>
      <xdr:rowOff>472</xdr:rowOff>
    </xdr:from>
    <xdr:to>
      <xdr:col>15</xdr:col>
      <xdr:colOff>386698</xdr:colOff>
      <xdr:row>13</xdr:row>
      <xdr:rowOff>87558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7AB69E6-CA74-4EA3-9446-24AA4CFCEF26}"/>
            </a:ext>
          </a:extLst>
        </xdr:cNvPr>
        <xdr:cNvSpPr/>
      </xdr:nvSpPr>
      <xdr:spPr>
        <a:xfrm>
          <a:off x="5061668" y="2027392"/>
          <a:ext cx="4255670" cy="4528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43</a:t>
          </a:r>
          <a:r>
            <a:rPr lang="th-TH" sz="2000">
              <a:solidFill>
                <a:sysClr val="windowText" lastClr="000000"/>
              </a:solidFill>
            </a:rPr>
            <a:t>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7</xdr:col>
      <xdr:colOff>8068</xdr:colOff>
      <xdr:row>17</xdr:row>
      <xdr:rowOff>87085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C68FE63-28CF-47EE-9ED8-3AE90C0B3E17}"/>
            </a:ext>
          </a:extLst>
        </xdr:cNvPr>
        <xdr:cNvSpPr/>
      </xdr:nvSpPr>
      <xdr:spPr>
        <a:xfrm>
          <a:off x="609600" y="2758440"/>
          <a:ext cx="3574228" cy="45284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36</a:t>
          </a:r>
          <a:r>
            <a:rPr lang="th-TH" sz="2000">
              <a:solidFill>
                <a:sysClr val="windowText" lastClr="000000"/>
              </a:solidFill>
            </a:rPr>
            <a:t>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206184</xdr:colOff>
      <xdr:row>15</xdr:row>
      <xdr:rowOff>0</xdr:rowOff>
    </xdr:from>
    <xdr:to>
      <xdr:col>13</xdr:col>
      <xdr:colOff>214252</xdr:colOff>
      <xdr:row>17</xdr:row>
      <xdr:rowOff>87085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2F172C8-75C3-4C5F-ADE8-AE3DE935F075}"/>
            </a:ext>
          </a:extLst>
        </xdr:cNvPr>
        <xdr:cNvSpPr/>
      </xdr:nvSpPr>
      <xdr:spPr>
        <a:xfrm>
          <a:off x="4381944" y="2758440"/>
          <a:ext cx="3574228" cy="45284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36</a:t>
          </a:r>
          <a:r>
            <a:rPr lang="th-TH" sz="2000">
              <a:solidFill>
                <a:sysClr val="windowText" lastClr="000000"/>
              </a:solidFill>
            </a:rPr>
            <a:t>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6</xdr:col>
      <xdr:colOff>5200</xdr:colOff>
      <xdr:row>20</xdr:row>
      <xdr:rowOff>91440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8E89A27-9247-4E16-A6E7-721174E1AC97}"/>
            </a:ext>
          </a:extLst>
        </xdr:cNvPr>
        <xdr:cNvSpPr/>
      </xdr:nvSpPr>
      <xdr:spPr>
        <a:xfrm>
          <a:off x="609600" y="3307080"/>
          <a:ext cx="2977000" cy="4572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30</a:t>
          </a:r>
          <a:r>
            <a:rPr lang="en-US" sz="2000" baseline="0">
              <a:solidFill>
                <a:sysClr val="windowText" lastClr="000000"/>
              </a:solidFill>
            </a:rPr>
            <a:t> </a:t>
          </a:r>
          <a:r>
            <a:rPr lang="th-TH" sz="2000">
              <a:solidFill>
                <a:sysClr val="windowText" lastClr="000000"/>
              </a:solidFill>
            </a:rPr>
            <a:t>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426720</xdr:colOff>
      <xdr:row>18</xdr:row>
      <xdr:rowOff>15240</xdr:rowOff>
    </xdr:from>
    <xdr:to>
      <xdr:col>16</xdr:col>
      <xdr:colOff>431920</xdr:colOff>
      <xdr:row>20</xdr:row>
      <xdr:rowOff>106680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E2DA0D7-2679-4F06-9A35-8489FA36F86D}"/>
            </a:ext>
          </a:extLst>
        </xdr:cNvPr>
        <xdr:cNvSpPr/>
      </xdr:nvSpPr>
      <xdr:spPr>
        <a:xfrm>
          <a:off x="6979920" y="3322320"/>
          <a:ext cx="2977000" cy="4572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30</a:t>
          </a:r>
          <a:r>
            <a:rPr lang="en-US" sz="2000" baseline="0">
              <a:solidFill>
                <a:sysClr val="windowText" lastClr="000000"/>
              </a:solidFill>
            </a:rPr>
            <a:t> </a:t>
          </a:r>
          <a:r>
            <a:rPr lang="th-TH" sz="2000">
              <a:solidFill>
                <a:sysClr val="windowText" lastClr="000000"/>
              </a:solidFill>
            </a:rPr>
            <a:t>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223034</xdr:colOff>
      <xdr:row>10</xdr:row>
      <xdr:rowOff>49493</xdr:rowOff>
    </xdr:from>
    <xdr:to>
      <xdr:col>32</xdr:col>
      <xdr:colOff>567458</xdr:colOff>
      <xdr:row>23</xdr:row>
      <xdr:rowOff>1797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61AFB8A-2478-47E9-8B0F-6C9655207AEF}"/>
            </a:ext>
          </a:extLst>
        </xdr:cNvPr>
        <xdr:cNvSpPr/>
      </xdr:nvSpPr>
      <xdr:spPr>
        <a:xfrm>
          <a:off x="14609594" y="1893533"/>
          <a:ext cx="5221224" cy="2329744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6</xdr:col>
      <xdr:colOff>5200</xdr:colOff>
      <xdr:row>23</xdr:row>
      <xdr:rowOff>91440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D9847EC-1C60-4335-99CB-7599B6445607}"/>
            </a:ext>
          </a:extLst>
        </xdr:cNvPr>
        <xdr:cNvSpPr/>
      </xdr:nvSpPr>
      <xdr:spPr>
        <a:xfrm>
          <a:off x="609600" y="3855720"/>
          <a:ext cx="2977000" cy="4572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30</a:t>
          </a:r>
          <a:r>
            <a:rPr lang="en-US" sz="2000" baseline="0">
              <a:solidFill>
                <a:sysClr val="windowText" lastClr="000000"/>
              </a:solidFill>
            </a:rPr>
            <a:t> </a:t>
          </a:r>
          <a:r>
            <a:rPr lang="th-TH" sz="2000">
              <a:solidFill>
                <a:sysClr val="windowText" lastClr="000000"/>
              </a:solidFill>
            </a:rPr>
            <a:t>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213360</xdr:colOff>
      <xdr:row>21</xdr:row>
      <xdr:rowOff>7620</xdr:rowOff>
    </xdr:from>
    <xdr:to>
      <xdr:col>11</xdr:col>
      <xdr:colOff>218560</xdr:colOff>
      <xdr:row>23</xdr:row>
      <xdr:rowOff>99060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03AD5BE-671E-4A5E-8D03-25DD1F07F1D0}"/>
            </a:ext>
          </a:extLst>
        </xdr:cNvPr>
        <xdr:cNvSpPr/>
      </xdr:nvSpPr>
      <xdr:spPr>
        <a:xfrm>
          <a:off x="3794760" y="3863340"/>
          <a:ext cx="2977000" cy="4572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30</a:t>
          </a:r>
          <a:r>
            <a:rPr lang="en-US" sz="2000" baseline="0">
              <a:solidFill>
                <a:sysClr val="windowText" lastClr="000000"/>
              </a:solidFill>
            </a:rPr>
            <a:t> </a:t>
          </a:r>
          <a:r>
            <a:rPr lang="th-TH" sz="2000">
              <a:solidFill>
                <a:sysClr val="windowText" lastClr="000000"/>
              </a:solidFill>
            </a:rPr>
            <a:t>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17</xdr:col>
      <xdr:colOff>6096</xdr:colOff>
      <xdr:row>41</xdr:row>
      <xdr:rowOff>91440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0E67751-9548-4A87-BEC2-801966E4D33B}"/>
            </a:ext>
          </a:extLst>
        </xdr:cNvPr>
        <xdr:cNvSpPr/>
      </xdr:nvSpPr>
      <xdr:spPr>
        <a:xfrm>
          <a:off x="609600" y="4404360"/>
          <a:ext cx="9515856" cy="32004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2000">
              <a:solidFill>
                <a:sysClr val="windowText" lastClr="000000"/>
              </a:solidFill>
            </a:rPr>
            <a:t>96</a:t>
          </a:r>
          <a:r>
            <a:rPr lang="th-TH" sz="2000">
              <a:solidFill>
                <a:sysClr val="windowText" lastClr="000000"/>
              </a:solidFill>
            </a:rPr>
            <a:t>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15</xdr:col>
      <xdr:colOff>3048</xdr:colOff>
      <xdr:row>41</xdr:row>
      <xdr:rowOff>91440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C94E6C0-5CE6-4D10-82D9-0BB30233A83B}"/>
            </a:ext>
          </a:extLst>
        </xdr:cNvPr>
        <xdr:cNvSpPr/>
      </xdr:nvSpPr>
      <xdr:spPr>
        <a:xfrm>
          <a:off x="609600" y="4404360"/>
          <a:ext cx="8324088" cy="32004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2000">
              <a:solidFill>
                <a:sysClr val="windowText" lastClr="000000"/>
              </a:solidFill>
            </a:rPr>
            <a:t>84</a:t>
          </a:r>
          <a:r>
            <a:rPr lang="th-TH" sz="2000">
              <a:solidFill>
                <a:sysClr val="windowText" lastClr="000000"/>
              </a:solidFill>
            </a:rPr>
            <a:t>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</xdr:colOff>
      <xdr:row>24</xdr:row>
      <xdr:rowOff>2</xdr:rowOff>
    </xdr:from>
    <xdr:to>
      <xdr:col>13</xdr:col>
      <xdr:colOff>9146</xdr:colOff>
      <xdr:row>41</xdr:row>
      <xdr:rowOff>91442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D12B98A-3596-4510-A685-61694DD93B8A}"/>
            </a:ext>
          </a:extLst>
        </xdr:cNvPr>
        <xdr:cNvSpPr/>
      </xdr:nvSpPr>
      <xdr:spPr>
        <a:xfrm>
          <a:off x="609602" y="4404362"/>
          <a:ext cx="7141464" cy="32004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2000">
              <a:solidFill>
                <a:sysClr val="windowText" lastClr="000000"/>
              </a:solidFill>
            </a:rPr>
            <a:t>72</a:t>
          </a:r>
          <a:r>
            <a:rPr lang="th-TH" sz="2000">
              <a:solidFill>
                <a:sysClr val="windowText" lastClr="000000"/>
              </a:solidFill>
            </a:rPr>
            <a:t>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</xdr:colOff>
      <xdr:row>24</xdr:row>
      <xdr:rowOff>4</xdr:rowOff>
    </xdr:from>
    <xdr:to>
      <xdr:col>11</xdr:col>
      <xdr:colOff>6100</xdr:colOff>
      <xdr:row>41</xdr:row>
      <xdr:rowOff>91444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5732927-498F-4684-B0B1-8EAAE41B2061}"/>
            </a:ext>
            <a:ext uri="{147F2762-F138-4A5C-976F-8EAC2B608ADB}">
              <a16:predDERef xmlns:a16="http://schemas.microsoft.com/office/drawing/2014/main" pred="{3CAB03A6-D8F5-41A8-9DEA-9E782E60AD54}"/>
            </a:ext>
          </a:extLst>
        </xdr:cNvPr>
        <xdr:cNvSpPr/>
      </xdr:nvSpPr>
      <xdr:spPr>
        <a:xfrm>
          <a:off x="609604" y="4404364"/>
          <a:ext cx="5949696" cy="32004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60</a:t>
          </a:r>
          <a:r>
            <a:rPr lang="th-TH" sz="2000">
              <a:solidFill>
                <a:sysClr val="windowText" lastClr="000000"/>
              </a:solidFill>
            </a:rPr>
            <a:t> นิ้ว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434340</xdr:colOff>
      <xdr:row>2</xdr:row>
      <xdr:rowOff>190499</xdr:rowOff>
    </xdr:from>
    <xdr:to>
      <xdr:col>9</xdr:col>
      <xdr:colOff>481853</xdr:colOff>
      <xdr:row>57</xdr:row>
      <xdr:rowOff>145676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E81B981-2DE3-4712-A482-6FC11231A37F}"/>
            </a:ext>
            <a:ext uri="{147F2762-F138-4A5C-976F-8EAC2B608ADB}">
              <a16:predDERef xmlns:a16="http://schemas.microsoft.com/office/drawing/2014/main" pred="{A0A834BB-DCD1-4578-8823-9DBB5D09C771}"/>
            </a:ext>
          </a:extLst>
        </xdr:cNvPr>
        <xdr:cNvSpPr/>
      </xdr:nvSpPr>
      <xdr:spPr>
        <a:xfrm>
          <a:off x="5798820" y="563879"/>
          <a:ext cx="47513" cy="10021197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400254</xdr:colOff>
      <xdr:row>1</xdr:row>
      <xdr:rowOff>23370</xdr:rowOff>
    </xdr:from>
    <xdr:to>
      <xdr:col>22</xdr:col>
      <xdr:colOff>598713</xdr:colOff>
      <xdr:row>35</xdr:row>
      <xdr:rowOff>110456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CED0F9A-6076-4FFF-A6B7-0924F0131688}"/>
            </a:ext>
          </a:extLst>
        </xdr:cNvPr>
        <xdr:cNvSpPr/>
      </xdr:nvSpPr>
      <xdr:spPr>
        <a:xfrm flipH="1">
          <a:off x="13567614" y="206250"/>
          <a:ext cx="198459" cy="6320246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440054</xdr:colOff>
      <xdr:row>2</xdr:row>
      <xdr:rowOff>190499</xdr:rowOff>
    </xdr:from>
    <xdr:to>
      <xdr:col>14</xdr:col>
      <xdr:colOff>485773</xdr:colOff>
      <xdr:row>58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8B18C37-CAF4-48E2-B931-617E5CA44741}"/>
            </a:ext>
            <a:ext uri="{147F2762-F138-4A5C-976F-8EAC2B608ADB}">
              <a16:predDERef xmlns:a16="http://schemas.microsoft.com/office/drawing/2014/main" pred="{0EC118A8-A1EA-49CA-A6D3-199E6AC2D786}"/>
            </a:ext>
          </a:extLst>
        </xdr:cNvPr>
        <xdr:cNvSpPr/>
      </xdr:nvSpPr>
      <xdr:spPr>
        <a:xfrm flipH="1">
          <a:off x="8776334" y="563879"/>
          <a:ext cx="45719" cy="10058401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8531</xdr:colOff>
      <xdr:row>28</xdr:row>
      <xdr:rowOff>143869</xdr:rowOff>
    </xdr:from>
    <xdr:to>
      <xdr:col>9</xdr:col>
      <xdr:colOff>441132</xdr:colOff>
      <xdr:row>28</xdr:row>
      <xdr:rowOff>143869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A2438F2-B2F2-4678-BF0A-A1F5D05057FB}"/>
            </a:ext>
          </a:extLst>
        </xdr:cNvPr>
        <xdr:cNvCxnSpPr/>
      </xdr:nvCxnSpPr>
      <xdr:spPr>
        <a:xfrm>
          <a:off x="618131" y="5279749"/>
          <a:ext cx="518748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283058</xdr:colOff>
      <xdr:row>26</xdr:row>
      <xdr:rowOff>172279</xdr:rowOff>
    </xdr:from>
    <xdr:to>
      <xdr:col>7</xdr:col>
      <xdr:colOff>58303</xdr:colOff>
      <xdr:row>29</xdr:row>
      <xdr:rowOff>18884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4521DE0-A6B3-4419-94D6-CD7E72597DCD}"/>
            </a:ext>
          </a:extLst>
        </xdr:cNvPr>
        <xdr:cNvSpPr txBox="1"/>
      </xdr:nvSpPr>
      <xdr:spPr>
        <a:xfrm>
          <a:off x="3270098" y="4942399"/>
          <a:ext cx="963965" cy="395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cs typeface="+mn-cs"/>
            </a:rPr>
            <a:t>55.31 </a:t>
          </a:r>
          <a:r>
            <a:rPr lang="th-TH" sz="1200" b="0">
              <a:cs typeface="+mn-cs"/>
            </a:rPr>
            <a:t>นิ้ว</a:t>
          </a:r>
          <a:endParaRPr lang="en-US" sz="1200" b="0">
            <a:cs typeface="+mn-cs"/>
          </a:endParaRPr>
        </a:p>
      </xdr:txBody>
    </xdr:sp>
    <xdr:clientData/>
  </xdr:twoCellAnchor>
  <xdr:twoCellAnchor>
    <xdr:from>
      <xdr:col>1</xdr:col>
      <xdr:colOff>6626</xdr:colOff>
      <xdr:row>36</xdr:row>
      <xdr:rowOff>139148</xdr:rowOff>
    </xdr:from>
    <xdr:to>
      <xdr:col>14</xdr:col>
      <xdr:colOff>457200</xdr:colOff>
      <xdr:row>36</xdr:row>
      <xdr:rowOff>172278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84266F8-4EA6-42E4-A49C-713749DABAC9}"/>
            </a:ext>
          </a:extLst>
        </xdr:cNvPr>
        <xdr:cNvCxnSpPr/>
      </xdr:nvCxnSpPr>
      <xdr:spPr>
        <a:xfrm flipV="1">
          <a:off x="616226" y="6738068"/>
          <a:ext cx="8177254" cy="331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583094</xdr:colOff>
      <xdr:row>35</xdr:row>
      <xdr:rowOff>6627</xdr:rowOff>
    </xdr:from>
    <xdr:to>
      <xdr:col>8</xdr:col>
      <xdr:colOff>351182</xdr:colOff>
      <xdr:row>37</xdr:row>
      <xdr:rowOff>46383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30D4D89-D2F9-460A-B5C3-C7958835F3A6}"/>
            </a:ext>
          </a:extLst>
        </xdr:cNvPr>
        <xdr:cNvSpPr txBox="1"/>
      </xdr:nvSpPr>
      <xdr:spPr>
        <a:xfrm>
          <a:off x="4164494" y="6422667"/>
          <a:ext cx="956808" cy="4055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200" b="0">
              <a:cs typeface="+mn-cs"/>
            </a:rPr>
            <a:t>82</a:t>
          </a:r>
          <a:r>
            <a:rPr lang="en-US" sz="1200" b="0">
              <a:cs typeface="+mn-cs"/>
            </a:rPr>
            <a:t> </a:t>
          </a:r>
          <a:r>
            <a:rPr lang="th-TH" sz="1200" b="0">
              <a:cs typeface="+mn-cs"/>
            </a:rPr>
            <a:t>นิ้ว</a:t>
          </a:r>
          <a:endParaRPr lang="en-US" sz="1200" b="0">
            <a:cs typeface="+mn-cs"/>
          </a:endParaRPr>
        </a:p>
      </xdr:txBody>
    </xdr:sp>
    <xdr:clientData/>
  </xdr:twoCellAnchor>
  <xdr:twoCellAnchor>
    <xdr:from>
      <xdr:col>4</xdr:col>
      <xdr:colOff>209550</xdr:colOff>
      <xdr:row>2</xdr:row>
      <xdr:rowOff>177165</xdr:rowOff>
    </xdr:from>
    <xdr:to>
      <xdr:col>4</xdr:col>
      <xdr:colOff>268941</xdr:colOff>
      <xdr:row>58</xdr:row>
      <xdr:rowOff>33617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CB39F67-6B05-4C4B-9CC7-94A3A6C60325}"/>
            </a:ext>
            <a:ext uri="{147F2762-F138-4A5C-976F-8EAC2B608ADB}">
              <a16:predDERef xmlns:a16="http://schemas.microsoft.com/office/drawing/2014/main" pred="{25FF2B56-7EF6-4FF9-839A-4A0C5D5966A4}"/>
            </a:ext>
          </a:extLst>
        </xdr:cNvPr>
        <xdr:cNvSpPr/>
      </xdr:nvSpPr>
      <xdr:spPr>
        <a:xfrm>
          <a:off x="2602230" y="550545"/>
          <a:ext cx="59391" cy="10105352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11430</xdr:colOff>
      <xdr:row>26</xdr:row>
      <xdr:rowOff>87630</xdr:rowOff>
    </xdr:from>
    <xdr:to>
      <xdr:col>4</xdr:col>
      <xdr:colOff>205740</xdr:colOff>
      <xdr:row>26</xdr:row>
      <xdr:rowOff>91440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F7F59DD1-374D-45F6-8878-994CB8346641}"/>
            </a:ext>
            <a:ext uri="{147F2762-F138-4A5C-976F-8EAC2B608ADB}">
              <a16:predDERef xmlns:a16="http://schemas.microsoft.com/office/drawing/2014/main" pred="{28315856-9A6B-416E-B0B2-8A116A35B73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0F2B56D3-2F7B-5686-9020-FBA3E15F7D22}"/>
            </a:ext>
          </a:extLst>
        </xdr:cNvCxnSpPr>
      </xdr:nvCxnSpPr>
      <xdr:spPr>
        <a:xfrm>
          <a:off x="621030" y="4857750"/>
          <a:ext cx="1977390" cy="381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472440</xdr:colOff>
      <xdr:row>24</xdr:row>
      <xdr:rowOff>114300</xdr:rowOff>
    </xdr:from>
    <xdr:to>
      <xdr:col>3</xdr:col>
      <xdr:colOff>266286</xdr:colOff>
      <xdr:row>26</xdr:row>
      <xdr:rowOff>149500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9E25A9D-CFFF-43DB-B748-E7103177203A}"/>
            </a:ext>
            <a:ext uri="{147F2762-F138-4A5C-976F-8EAC2B608ADB}">
              <a16:predDERef xmlns:a16="http://schemas.microsoft.com/office/drawing/2014/main" pred="{A2218B1F-9E18-4D1B-9949-493BCF4166A8}"/>
            </a:ext>
          </a:extLst>
        </xdr:cNvPr>
        <xdr:cNvSpPr txBox="1"/>
      </xdr:nvSpPr>
      <xdr:spPr>
        <a:xfrm>
          <a:off x="1082040" y="4518660"/>
          <a:ext cx="982566" cy="400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12</a:t>
          </a:r>
          <a:r>
            <a:rPr lang="th-TH" sz="1200" b="0">
              <a:solidFill>
                <a:schemeClr val="dk1"/>
              </a:solidFill>
              <a:latin typeface="+mn-lt"/>
              <a:ea typeface="+mn-lt"/>
              <a:cs typeface="+mn-lt"/>
            </a:rPr>
            <a:t> นิ้ว</a:t>
          </a:r>
        </a:p>
      </xdr:txBody>
    </xdr:sp>
    <xdr:clientData/>
  </xdr:twoCellAnchor>
  <xdr:twoCellAnchor>
    <xdr:from>
      <xdr:col>1</xdr:col>
      <xdr:colOff>10436</xdr:colOff>
      <xdr:row>46</xdr:row>
      <xdr:rowOff>85934</xdr:rowOff>
    </xdr:from>
    <xdr:to>
      <xdr:col>9</xdr:col>
      <xdr:colOff>437322</xdr:colOff>
      <xdr:row>46</xdr:row>
      <xdr:rowOff>85934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41D6B566-B76D-4BBB-A94B-66362C99D927}"/>
            </a:ext>
          </a:extLst>
        </xdr:cNvPr>
        <xdr:cNvCxnSpPr/>
      </xdr:nvCxnSpPr>
      <xdr:spPr>
        <a:xfrm>
          <a:off x="620036" y="8513654"/>
          <a:ext cx="5181766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286868</xdr:colOff>
      <xdr:row>44</xdr:row>
      <xdr:rowOff>112439</xdr:rowOff>
    </xdr:from>
    <xdr:to>
      <xdr:col>7</xdr:col>
      <xdr:colOff>54493</xdr:colOff>
      <xdr:row>46</xdr:row>
      <xdr:rowOff>145958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05E44F6-FDFD-4D3D-8A75-FD78BAEA87F0}"/>
            </a:ext>
          </a:extLst>
        </xdr:cNvPr>
        <xdr:cNvSpPr txBox="1"/>
      </xdr:nvSpPr>
      <xdr:spPr>
        <a:xfrm>
          <a:off x="3273908" y="8174399"/>
          <a:ext cx="956345" cy="399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cs typeface="+mn-cs"/>
            </a:rPr>
            <a:t>140</a:t>
          </a:r>
          <a:r>
            <a:rPr lang="en-US" sz="1200" b="0" baseline="0">
              <a:cs typeface="+mn-cs"/>
            </a:rPr>
            <a:t>0 mm</a:t>
          </a:r>
          <a:endParaRPr lang="en-US" sz="1200" b="0">
            <a:cs typeface="+mn-cs"/>
          </a:endParaRPr>
        </a:p>
      </xdr:txBody>
    </xdr:sp>
    <xdr:clientData/>
  </xdr:twoCellAnchor>
  <xdr:twoCellAnchor>
    <xdr:from>
      <xdr:col>1</xdr:col>
      <xdr:colOff>15240</xdr:colOff>
      <xdr:row>44</xdr:row>
      <xdr:rowOff>35410</xdr:rowOff>
    </xdr:from>
    <xdr:to>
      <xdr:col>4</xdr:col>
      <xdr:colOff>209550</xdr:colOff>
      <xdr:row>44</xdr:row>
      <xdr:rowOff>39220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AE38E225-0E6E-48B6-AA28-BCCB613DBE0B}"/>
            </a:ext>
            <a:ext uri="{147F2762-F138-4A5C-976F-8EAC2B608ADB}">
              <a16:predDERef xmlns:a16="http://schemas.microsoft.com/office/drawing/2014/main" pred="{28315856-9A6B-416E-B0B2-8A116A35B73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0F2B56D3-2F7B-5686-9020-FBA3E15F7D22}"/>
            </a:ext>
          </a:extLst>
        </xdr:cNvCxnSpPr>
      </xdr:nvCxnSpPr>
      <xdr:spPr>
        <a:xfrm>
          <a:off x="624840" y="8097370"/>
          <a:ext cx="1977390" cy="381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42</xdr:row>
      <xdr:rowOff>58270</xdr:rowOff>
    </xdr:from>
    <xdr:to>
      <xdr:col>3</xdr:col>
      <xdr:colOff>266286</xdr:colOff>
      <xdr:row>44</xdr:row>
      <xdr:rowOff>93470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CF8204F-45D2-4D96-A953-A09F2ED50727}"/>
            </a:ext>
            <a:ext uri="{147F2762-F138-4A5C-976F-8EAC2B608ADB}">
              <a16:predDERef xmlns:a16="http://schemas.microsoft.com/office/drawing/2014/main" pred="{A2218B1F-9E18-4D1B-9949-493BCF4166A8}"/>
            </a:ext>
          </a:extLst>
        </xdr:cNvPr>
        <xdr:cNvSpPr txBox="1"/>
      </xdr:nvSpPr>
      <xdr:spPr>
        <a:xfrm>
          <a:off x="1085850" y="7754470"/>
          <a:ext cx="978756" cy="400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300 mm</a:t>
          </a:r>
          <a:endParaRPr lang="th-TH" sz="1200" b="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8531</xdr:colOff>
      <xdr:row>48</xdr:row>
      <xdr:rowOff>168956</xdr:rowOff>
    </xdr:from>
    <xdr:to>
      <xdr:col>14</xdr:col>
      <xdr:colOff>457200</xdr:colOff>
      <xdr:row>49</xdr:row>
      <xdr:rowOff>22791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4ABB8D-A045-4B78-AE79-74DEE95B1D75}"/>
            </a:ext>
          </a:extLst>
        </xdr:cNvPr>
        <xdr:cNvCxnSpPr/>
      </xdr:nvCxnSpPr>
      <xdr:spPr>
        <a:xfrm flipV="1">
          <a:off x="618131" y="8962436"/>
          <a:ext cx="8175349" cy="3671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93845</xdr:colOff>
      <xdr:row>47</xdr:row>
      <xdr:rowOff>12343</xdr:rowOff>
    </xdr:from>
    <xdr:to>
      <xdr:col>11</xdr:col>
      <xdr:colOff>455846</xdr:colOff>
      <xdr:row>49</xdr:row>
      <xdr:rowOff>52098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DB4930D-A705-48B1-AE8E-D588D782FC49}"/>
            </a:ext>
          </a:extLst>
        </xdr:cNvPr>
        <xdr:cNvSpPr txBox="1"/>
      </xdr:nvSpPr>
      <xdr:spPr>
        <a:xfrm>
          <a:off x="6052685" y="8622943"/>
          <a:ext cx="956361" cy="405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cs typeface="+mn-cs"/>
            </a:rPr>
            <a:t>1960 mm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64631</xdr:colOff>
      <xdr:row>32</xdr:row>
      <xdr:rowOff>178593</xdr:rowOff>
    </xdr:from>
    <xdr:to>
      <xdr:col>25</xdr:col>
      <xdr:colOff>573551</xdr:colOff>
      <xdr:row>59</xdr:row>
      <xdr:rowOff>162950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898028-4526-4E39-B867-B93C6AEED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2251" y="6556533"/>
          <a:ext cx="7382160" cy="51278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14</xdr:col>
      <xdr:colOff>54428</xdr:colOff>
      <xdr:row>5</xdr:row>
      <xdr:rowOff>54430</xdr:rowOff>
    </xdr:from>
    <xdr:to>
      <xdr:col>25</xdr:col>
      <xdr:colOff>581359</xdr:colOff>
      <xdr:row>28</xdr:row>
      <xdr:rowOff>116358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226482-0B31-4A75-819C-801E95BDE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2048" y="1105990"/>
          <a:ext cx="7400171" cy="46186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521497986389/WOPIServiceId_TP_BOX_2/WOPIUserId_-/Loss-time.xlsx" TargetMode="External"/><Relationship Id="rId1" Type="http://schemas.openxmlformats.org/officeDocument/2006/relationships/externalLinkPath" Target="https://api.box.com/wopi/files/2521497986389/WOPIServiceId_TP_BOX_2/WOPIUserId_-/Loss-ti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nalysis"/>
      <sheetName val="Size Insight"/>
    </sheetNames>
    <sheetDataSet>
      <sheetData sheetId="0">
        <row r="3">
          <cell r="B3" t="str">
            <v>D</v>
          </cell>
          <cell r="C3" t="str">
            <v>Clear</v>
          </cell>
          <cell r="D3">
            <v>6</v>
          </cell>
          <cell r="E3">
            <v>96</v>
          </cell>
          <cell r="F3">
            <v>72</v>
          </cell>
          <cell r="G3">
            <v>120</v>
          </cell>
          <cell r="H3">
            <v>90</v>
          </cell>
        </row>
        <row r="4">
          <cell r="B4" t="str">
            <v>D</v>
          </cell>
          <cell r="C4" t="str">
            <v>Clear</v>
          </cell>
          <cell r="D4">
            <v>3</v>
          </cell>
          <cell r="E4">
            <v>48</v>
          </cell>
          <cell r="F4">
            <v>72</v>
          </cell>
          <cell r="G4">
            <v>65</v>
          </cell>
          <cell r="H4">
            <v>5</v>
          </cell>
        </row>
        <row r="5">
          <cell r="B5" t="str">
            <v>D</v>
          </cell>
          <cell r="C5" t="str">
            <v>Clear</v>
          </cell>
          <cell r="D5">
            <v>5</v>
          </cell>
          <cell r="E5">
            <v>84</v>
          </cell>
          <cell r="F5">
            <v>120</v>
          </cell>
          <cell r="G5">
            <v>345</v>
          </cell>
          <cell r="H5">
            <v>5</v>
          </cell>
        </row>
        <row r="6">
          <cell r="B6" t="str">
            <v>D</v>
          </cell>
          <cell r="C6" t="str">
            <v>Clear</v>
          </cell>
          <cell r="D6">
            <v>5</v>
          </cell>
          <cell r="E6">
            <v>84</v>
          </cell>
          <cell r="F6">
            <v>120</v>
          </cell>
          <cell r="G6">
            <v>315</v>
          </cell>
          <cell r="H6">
            <v>5</v>
          </cell>
        </row>
        <row r="7">
          <cell r="B7" t="str">
            <v>D</v>
          </cell>
          <cell r="C7" t="str">
            <v>Clear</v>
          </cell>
          <cell r="D7">
            <v>5</v>
          </cell>
          <cell r="E7">
            <v>84</v>
          </cell>
          <cell r="F7">
            <v>120</v>
          </cell>
          <cell r="G7">
            <v>175</v>
          </cell>
          <cell r="H7">
            <v>5</v>
          </cell>
        </row>
        <row r="8">
          <cell r="B8" t="str">
            <v>D</v>
          </cell>
          <cell r="C8" t="str">
            <v>Clear</v>
          </cell>
          <cell r="D8">
            <v>6</v>
          </cell>
          <cell r="E8">
            <v>96</v>
          </cell>
          <cell r="F8">
            <v>84</v>
          </cell>
          <cell r="G8">
            <v>235</v>
          </cell>
          <cell r="H8">
            <v>5</v>
          </cell>
        </row>
        <row r="9">
          <cell r="B9" t="str">
            <v>D</v>
          </cell>
          <cell r="C9" t="str">
            <v>Clear</v>
          </cell>
          <cell r="D9">
            <v>6</v>
          </cell>
          <cell r="E9">
            <v>84</v>
          </cell>
          <cell r="F9">
            <v>120</v>
          </cell>
          <cell r="G9">
            <v>360</v>
          </cell>
          <cell r="H9">
            <v>70</v>
          </cell>
        </row>
        <row r="10">
          <cell r="B10" t="str">
            <v>D</v>
          </cell>
          <cell r="C10" t="str">
            <v>Clear</v>
          </cell>
          <cell r="D10">
            <v>5</v>
          </cell>
          <cell r="E10">
            <v>96</v>
          </cell>
          <cell r="F10">
            <v>72</v>
          </cell>
          <cell r="G10">
            <v>20</v>
          </cell>
          <cell r="H10">
            <v>5</v>
          </cell>
        </row>
        <row r="11">
          <cell r="B11" t="str">
            <v>D</v>
          </cell>
          <cell r="C11" t="str">
            <v>Clear</v>
          </cell>
          <cell r="D11">
            <v>5</v>
          </cell>
          <cell r="E11">
            <v>96</v>
          </cell>
          <cell r="F11">
            <v>144</v>
          </cell>
          <cell r="G11">
            <v>260</v>
          </cell>
          <cell r="H11">
            <v>245</v>
          </cell>
        </row>
        <row r="12">
          <cell r="B12" t="str">
            <v>D</v>
          </cell>
          <cell r="C12" t="str">
            <v>Clear</v>
          </cell>
          <cell r="D12">
            <v>6</v>
          </cell>
          <cell r="E12">
            <v>96</v>
          </cell>
          <cell r="F12">
            <v>60</v>
          </cell>
          <cell r="G12">
            <v>120</v>
          </cell>
          <cell r="H12">
            <v>5</v>
          </cell>
        </row>
        <row r="13">
          <cell r="B13" t="str">
            <v>D</v>
          </cell>
          <cell r="C13" t="str">
            <v>Clear</v>
          </cell>
          <cell r="D13">
            <v>6</v>
          </cell>
          <cell r="E13">
            <v>96</v>
          </cell>
          <cell r="F13">
            <v>84</v>
          </cell>
          <cell r="G13">
            <v>150</v>
          </cell>
          <cell r="H13">
            <v>95</v>
          </cell>
        </row>
        <row r="14">
          <cell r="B14" t="str">
            <v>D</v>
          </cell>
          <cell r="C14" t="str">
            <v>Clear</v>
          </cell>
          <cell r="D14">
            <v>5</v>
          </cell>
          <cell r="E14">
            <v>96</v>
          </cell>
          <cell r="F14">
            <v>72</v>
          </cell>
          <cell r="G14">
            <v>180</v>
          </cell>
          <cell r="H14">
            <v>65</v>
          </cell>
        </row>
        <row r="15">
          <cell r="B15" t="str">
            <v>C</v>
          </cell>
          <cell r="C15" t="str">
            <v>Clear</v>
          </cell>
          <cell r="D15">
            <v>1.1000000000000001</v>
          </cell>
          <cell r="E15">
            <v>43</v>
          </cell>
          <cell r="F15">
            <v>49</v>
          </cell>
          <cell r="G15">
            <v>280</v>
          </cell>
          <cell r="H15">
            <v>5</v>
          </cell>
        </row>
        <row r="16">
          <cell r="B16" t="str">
            <v>C</v>
          </cell>
          <cell r="C16" t="str">
            <v>Clear</v>
          </cell>
          <cell r="D16">
            <v>1.1000000000000001</v>
          </cell>
          <cell r="E16">
            <v>43</v>
          </cell>
          <cell r="F16">
            <v>49</v>
          </cell>
          <cell r="G16">
            <v>265</v>
          </cell>
          <cell r="H16">
            <v>5</v>
          </cell>
        </row>
        <row r="17">
          <cell r="B17" t="str">
            <v>D</v>
          </cell>
          <cell r="C17" t="str">
            <v>Clear</v>
          </cell>
          <cell r="D17">
            <v>5</v>
          </cell>
          <cell r="E17">
            <v>96</v>
          </cell>
          <cell r="F17">
            <v>72</v>
          </cell>
          <cell r="G17">
            <v>360</v>
          </cell>
          <cell r="H17">
            <v>5</v>
          </cell>
        </row>
        <row r="18">
          <cell r="B18" t="str">
            <v>D</v>
          </cell>
          <cell r="C18" t="str">
            <v>Clear</v>
          </cell>
          <cell r="D18">
            <v>5</v>
          </cell>
          <cell r="E18">
            <v>96</v>
          </cell>
          <cell r="F18">
            <v>144</v>
          </cell>
          <cell r="G18">
            <v>110</v>
          </cell>
          <cell r="H18">
            <v>95</v>
          </cell>
        </row>
        <row r="19">
          <cell r="B19" t="str">
            <v>D</v>
          </cell>
          <cell r="C19" t="str">
            <v>Clear</v>
          </cell>
          <cell r="D19">
            <v>5</v>
          </cell>
          <cell r="E19">
            <v>96</v>
          </cell>
          <cell r="F19">
            <v>72</v>
          </cell>
          <cell r="G19">
            <v>250</v>
          </cell>
          <cell r="H19">
            <v>215</v>
          </cell>
        </row>
        <row r="20">
          <cell r="B20" t="str">
            <v>D</v>
          </cell>
          <cell r="C20" t="str">
            <v>Clear</v>
          </cell>
          <cell r="D20">
            <v>5</v>
          </cell>
          <cell r="E20">
            <v>96</v>
          </cell>
          <cell r="F20">
            <v>120</v>
          </cell>
          <cell r="G20">
            <v>85</v>
          </cell>
          <cell r="H20">
            <v>5</v>
          </cell>
        </row>
        <row r="21">
          <cell r="B21" t="str">
            <v>D</v>
          </cell>
          <cell r="C21" t="str">
            <v>Clear</v>
          </cell>
          <cell r="D21">
            <v>5</v>
          </cell>
          <cell r="E21">
            <v>96</v>
          </cell>
          <cell r="F21">
            <v>144</v>
          </cell>
          <cell r="G21">
            <v>320</v>
          </cell>
          <cell r="H21">
            <v>140</v>
          </cell>
        </row>
        <row r="22">
          <cell r="B22" t="str">
            <v>D</v>
          </cell>
          <cell r="C22" t="str">
            <v>Clear</v>
          </cell>
          <cell r="D22">
            <v>6</v>
          </cell>
          <cell r="E22">
            <v>96</v>
          </cell>
          <cell r="F22">
            <v>120</v>
          </cell>
          <cell r="G22">
            <v>55</v>
          </cell>
          <cell r="H22">
            <v>5</v>
          </cell>
        </row>
        <row r="23">
          <cell r="B23" t="str">
            <v>D</v>
          </cell>
          <cell r="C23" t="str">
            <v>Clear</v>
          </cell>
          <cell r="D23">
            <v>6</v>
          </cell>
          <cell r="E23">
            <v>96</v>
          </cell>
          <cell r="F23">
            <v>144</v>
          </cell>
          <cell r="G23">
            <v>60</v>
          </cell>
          <cell r="H23">
            <v>5</v>
          </cell>
        </row>
        <row r="25">
          <cell r="B25" t="str">
            <v>D</v>
          </cell>
          <cell r="C25" t="str">
            <v>Clear</v>
          </cell>
          <cell r="D25">
            <v>5</v>
          </cell>
          <cell r="E25">
            <v>96</v>
          </cell>
          <cell r="F25">
            <v>84</v>
          </cell>
          <cell r="G25">
            <v>140</v>
          </cell>
          <cell r="H25">
            <v>5</v>
          </cell>
        </row>
        <row r="26">
          <cell r="B26" t="str">
            <v>D</v>
          </cell>
          <cell r="C26" t="str">
            <v>Clear</v>
          </cell>
          <cell r="D26">
            <v>5</v>
          </cell>
          <cell r="E26">
            <v>96</v>
          </cell>
          <cell r="F26">
            <v>120</v>
          </cell>
          <cell r="G26">
            <v>200</v>
          </cell>
          <cell r="H26">
            <v>5</v>
          </cell>
        </row>
        <row r="27">
          <cell r="B27" t="str">
            <v>D</v>
          </cell>
          <cell r="C27" t="str">
            <v>Clear</v>
          </cell>
          <cell r="D27">
            <v>6</v>
          </cell>
          <cell r="E27">
            <v>96</v>
          </cell>
          <cell r="F27">
            <v>120</v>
          </cell>
          <cell r="G27">
            <v>220</v>
          </cell>
          <cell r="H27">
            <v>65</v>
          </cell>
        </row>
        <row r="28">
          <cell r="B28" t="str">
            <v>D</v>
          </cell>
          <cell r="C28" t="str">
            <v>Clear</v>
          </cell>
          <cell r="D28">
            <v>6</v>
          </cell>
          <cell r="E28">
            <v>96</v>
          </cell>
          <cell r="F28">
            <v>144</v>
          </cell>
          <cell r="G28">
            <v>205</v>
          </cell>
          <cell r="H28">
            <v>95</v>
          </cell>
        </row>
        <row r="29">
          <cell r="B29" t="str">
            <v>D</v>
          </cell>
          <cell r="C29" t="str">
            <v>Clear</v>
          </cell>
          <cell r="D29">
            <v>3</v>
          </cell>
          <cell r="E29">
            <v>48</v>
          </cell>
          <cell r="F29">
            <v>72</v>
          </cell>
          <cell r="G29">
            <v>270</v>
          </cell>
          <cell r="H29">
            <v>5</v>
          </cell>
        </row>
        <row r="30">
          <cell r="B30" t="str">
            <v>D</v>
          </cell>
          <cell r="C30" t="str">
            <v>Clear</v>
          </cell>
          <cell r="D30">
            <v>5</v>
          </cell>
          <cell r="E30">
            <v>96</v>
          </cell>
          <cell r="F30">
            <v>84</v>
          </cell>
          <cell r="G30">
            <v>150</v>
          </cell>
          <cell r="H30">
            <v>5</v>
          </cell>
        </row>
        <row r="31">
          <cell r="B31" t="str">
            <v>D</v>
          </cell>
          <cell r="C31" t="str">
            <v>Clear</v>
          </cell>
          <cell r="D31">
            <v>6</v>
          </cell>
          <cell r="E31">
            <v>96</v>
          </cell>
          <cell r="F31">
            <v>84</v>
          </cell>
          <cell r="G31">
            <v>160</v>
          </cell>
          <cell r="H31">
            <v>5</v>
          </cell>
        </row>
        <row r="32">
          <cell r="B32" t="str">
            <v>D</v>
          </cell>
          <cell r="C32" t="str">
            <v>Clear</v>
          </cell>
          <cell r="D32">
            <v>6</v>
          </cell>
          <cell r="E32">
            <v>72</v>
          </cell>
          <cell r="F32">
            <v>120</v>
          </cell>
          <cell r="G32">
            <v>125</v>
          </cell>
          <cell r="H32">
            <v>5</v>
          </cell>
        </row>
        <row r="33">
          <cell r="B33" t="str">
            <v>T</v>
          </cell>
          <cell r="C33" t="str">
            <v>Dark</v>
          </cell>
          <cell r="D33">
            <v>5</v>
          </cell>
          <cell r="E33">
            <v>84</v>
          </cell>
          <cell r="F33">
            <v>120</v>
          </cell>
          <cell r="G33">
            <v>205</v>
          </cell>
          <cell r="H33">
            <v>5</v>
          </cell>
        </row>
        <row r="34">
          <cell r="B34" t="str">
            <v>T</v>
          </cell>
          <cell r="C34" t="str">
            <v>Dark</v>
          </cell>
          <cell r="D34">
            <v>6</v>
          </cell>
          <cell r="E34">
            <v>84</v>
          </cell>
          <cell r="F34">
            <v>120</v>
          </cell>
          <cell r="G34">
            <v>265</v>
          </cell>
          <cell r="H34">
            <v>95</v>
          </cell>
        </row>
        <row r="35">
          <cell r="B35" t="str">
            <v>D</v>
          </cell>
          <cell r="C35" t="str">
            <v>Clear</v>
          </cell>
          <cell r="D35">
            <v>6</v>
          </cell>
          <cell r="E35">
            <v>84</v>
          </cell>
          <cell r="F35">
            <v>72</v>
          </cell>
          <cell r="G35">
            <v>195</v>
          </cell>
          <cell r="H35">
            <v>5</v>
          </cell>
        </row>
        <row r="36">
          <cell r="B36" t="str">
            <v>D</v>
          </cell>
          <cell r="C36" t="str">
            <v>Clear</v>
          </cell>
          <cell r="D36">
            <v>6</v>
          </cell>
          <cell r="E36">
            <v>96</v>
          </cell>
          <cell r="F36">
            <v>72</v>
          </cell>
          <cell r="G36">
            <v>215</v>
          </cell>
          <cell r="H36">
            <v>5</v>
          </cell>
        </row>
        <row r="37">
          <cell r="B37" t="str">
            <v>D</v>
          </cell>
          <cell r="C37" t="str">
            <v>Clear</v>
          </cell>
          <cell r="D37">
            <v>6</v>
          </cell>
          <cell r="E37">
            <v>72</v>
          </cell>
          <cell r="F37">
            <v>120</v>
          </cell>
          <cell r="G37">
            <v>360</v>
          </cell>
          <cell r="H37">
            <v>5</v>
          </cell>
        </row>
        <row r="38">
          <cell r="B38" t="str">
            <v>D</v>
          </cell>
          <cell r="C38" t="str">
            <v>Clear</v>
          </cell>
          <cell r="D38">
            <v>5</v>
          </cell>
          <cell r="E38">
            <v>84</v>
          </cell>
          <cell r="F38">
            <v>72</v>
          </cell>
          <cell r="G38">
            <v>65</v>
          </cell>
          <cell r="H38">
            <v>5</v>
          </cell>
        </row>
        <row r="39">
          <cell r="B39" t="str">
            <v>D</v>
          </cell>
          <cell r="C39" t="str">
            <v>Clear</v>
          </cell>
          <cell r="D39">
            <v>5</v>
          </cell>
          <cell r="E39">
            <v>84</v>
          </cell>
          <cell r="F39">
            <v>84</v>
          </cell>
          <cell r="G39">
            <v>115</v>
          </cell>
          <cell r="H39">
            <v>5</v>
          </cell>
        </row>
        <row r="40">
          <cell r="B40" t="str">
            <v>D</v>
          </cell>
          <cell r="C40" t="str">
            <v>Clear</v>
          </cell>
          <cell r="D40">
            <v>5</v>
          </cell>
          <cell r="E40">
            <v>72</v>
          </cell>
          <cell r="F40">
            <v>120</v>
          </cell>
          <cell r="G40">
            <v>525</v>
          </cell>
          <cell r="H40">
            <v>145</v>
          </cell>
        </row>
        <row r="41">
          <cell r="B41" t="str">
            <v>D</v>
          </cell>
          <cell r="C41" t="str">
            <v>Clear</v>
          </cell>
          <cell r="D41">
            <v>6</v>
          </cell>
          <cell r="E41">
            <v>84</v>
          </cell>
          <cell r="F41">
            <v>72</v>
          </cell>
          <cell r="G41">
            <v>65</v>
          </cell>
          <cell r="H41">
            <v>5</v>
          </cell>
        </row>
        <row r="42">
          <cell r="B42" t="str">
            <v>D</v>
          </cell>
          <cell r="C42" t="str">
            <v>Clear</v>
          </cell>
          <cell r="D42">
            <v>5</v>
          </cell>
          <cell r="E42">
            <v>84</v>
          </cell>
          <cell r="F42">
            <v>60</v>
          </cell>
          <cell r="G42">
            <v>215</v>
          </cell>
          <cell r="H42">
            <v>5</v>
          </cell>
        </row>
        <row r="43">
          <cell r="B43" t="str">
            <v>D</v>
          </cell>
          <cell r="C43" t="str">
            <v>Clear</v>
          </cell>
          <cell r="D43">
            <v>5</v>
          </cell>
          <cell r="E43">
            <v>84</v>
          </cell>
          <cell r="F43">
            <v>72</v>
          </cell>
          <cell r="G43">
            <v>185</v>
          </cell>
          <cell r="H43">
            <v>5</v>
          </cell>
        </row>
        <row r="44">
          <cell r="B44" t="str">
            <v>D</v>
          </cell>
          <cell r="C44" t="str">
            <v>Clear</v>
          </cell>
          <cell r="D44">
            <v>2</v>
          </cell>
          <cell r="E44">
            <v>30</v>
          </cell>
          <cell r="F44">
            <v>40</v>
          </cell>
          <cell r="G44">
            <v>40</v>
          </cell>
          <cell r="H44">
            <v>15</v>
          </cell>
        </row>
        <row r="45">
          <cell r="B45" t="str">
            <v>D</v>
          </cell>
          <cell r="C45" t="str">
            <v>Clear</v>
          </cell>
          <cell r="D45">
            <v>2</v>
          </cell>
          <cell r="E45">
            <v>48</v>
          </cell>
          <cell r="F45">
            <v>32</v>
          </cell>
          <cell r="G45">
            <v>40</v>
          </cell>
          <cell r="H45">
            <v>15</v>
          </cell>
        </row>
        <row r="46">
          <cell r="B46" t="str">
            <v>D</v>
          </cell>
          <cell r="C46" t="str">
            <v>Clear</v>
          </cell>
          <cell r="D46">
            <v>2</v>
          </cell>
          <cell r="E46">
            <v>40</v>
          </cell>
          <cell r="F46">
            <v>56</v>
          </cell>
          <cell r="G46">
            <v>55</v>
          </cell>
          <cell r="H46">
            <v>15</v>
          </cell>
        </row>
        <row r="47">
          <cell r="B47" t="str">
            <v>D</v>
          </cell>
          <cell r="C47" t="str">
            <v>Clear</v>
          </cell>
          <cell r="D47">
            <v>3</v>
          </cell>
          <cell r="E47">
            <v>36</v>
          </cell>
          <cell r="F47">
            <v>60</v>
          </cell>
          <cell r="G47">
            <v>55</v>
          </cell>
          <cell r="H47">
            <v>15</v>
          </cell>
        </row>
        <row r="48">
          <cell r="B48" t="str">
            <v>D</v>
          </cell>
          <cell r="C48" t="str">
            <v>Clear</v>
          </cell>
          <cell r="D48">
            <v>5</v>
          </cell>
          <cell r="E48">
            <v>84</v>
          </cell>
          <cell r="F48">
            <v>60</v>
          </cell>
          <cell r="G48">
            <v>165</v>
          </cell>
          <cell r="H48">
            <v>60</v>
          </cell>
        </row>
        <row r="49">
          <cell r="B49" t="str">
            <v>D</v>
          </cell>
          <cell r="C49" t="str">
            <v>Clear</v>
          </cell>
          <cell r="D49">
            <v>6</v>
          </cell>
          <cell r="E49">
            <v>84</v>
          </cell>
          <cell r="F49">
            <v>120</v>
          </cell>
          <cell r="G49">
            <v>115</v>
          </cell>
          <cell r="H49">
            <v>15</v>
          </cell>
        </row>
        <row r="50">
          <cell r="B50" t="str">
            <v>D</v>
          </cell>
          <cell r="C50" t="str">
            <v>Clear</v>
          </cell>
          <cell r="D50">
            <v>5</v>
          </cell>
          <cell r="E50">
            <v>84</v>
          </cell>
          <cell r="F50">
            <v>120</v>
          </cell>
          <cell r="G50">
            <v>170</v>
          </cell>
          <cell r="H50">
            <v>15</v>
          </cell>
        </row>
        <row r="51">
          <cell r="B51" t="str">
            <v>D</v>
          </cell>
          <cell r="C51" t="str">
            <v>Clear</v>
          </cell>
          <cell r="D51">
            <v>6</v>
          </cell>
          <cell r="E51">
            <v>72</v>
          </cell>
          <cell r="F51">
            <v>120</v>
          </cell>
          <cell r="G51">
            <v>35</v>
          </cell>
          <cell r="H51">
            <v>15</v>
          </cell>
        </row>
        <row r="52">
          <cell r="B52" t="str">
            <v>D</v>
          </cell>
          <cell r="C52" t="str">
            <v>Clear</v>
          </cell>
          <cell r="D52">
            <v>6</v>
          </cell>
          <cell r="E52">
            <v>84</v>
          </cell>
          <cell r="F52">
            <v>120</v>
          </cell>
          <cell r="G52">
            <v>215</v>
          </cell>
          <cell r="H52">
            <v>15</v>
          </cell>
        </row>
        <row r="53">
          <cell r="B53" t="str">
            <v>D</v>
          </cell>
          <cell r="C53" t="str">
            <v>Clear</v>
          </cell>
          <cell r="D53">
            <v>5</v>
          </cell>
          <cell r="E53">
            <v>96</v>
          </cell>
          <cell r="F53">
            <v>72</v>
          </cell>
          <cell r="G53">
            <v>110</v>
          </cell>
          <cell r="H53">
            <v>15</v>
          </cell>
        </row>
        <row r="54">
          <cell r="B54" t="str">
            <v>D</v>
          </cell>
          <cell r="C54" t="str">
            <v>Clear</v>
          </cell>
          <cell r="D54">
            <v>5</v>
          </cell>
          <cell r="E54">
            <v>84</v>
          </cell>
          <cell r="F54">
            <v>120</v>
          </cell>
          <cell r="G54">
            <v>660</v>
          </cell>
          <cell r="H54">
            <v>30</v>
          </cell>
        </row>
        <row r="55">
          <cell r="B55" t="str">
            <v>D</v>
          </cell>
          <cell r="C55" t="str">
            <v>Clear</v>
          </cell>
          <cell r="D55">
            <v>5</v>
          </cell>
          <cell r="E55">
            <v>84</v>
          </cell>
          <cell r="F55">
            <v>72</v>
          </cell>
          <cell r="G55">
            <v>405</v>
          </cell>
          <cell r="H55">
            <v>75</v>
          </cell>
        </row>
        <row r="56">
          <cell r="B56" t="str">
            <v>D</v>
          </cell>
          <cell r="C56" t="str">
            <v>Clear</v>
          </cell>
          <cell r="D56">
            <v>5</v>
          </cell>
          <cell r="E56">
            <v>96</v>
          </cell>
          <cell r="F56">
            <v>72</v>
          </cell>
          <cell r="G56">
            <v>150</v>
          </cell>
          <cell r="H56">
            <v>15</v>
          </cell>
        </row>
        <row r="57">
          <cell r="B57" t="str">
            <v>T</v>
          </cell>
          <cell r="C57" t="str">
            <v>Dark</v>
          </cell>
          <cell r="D57">
            <v>5</v>
          </cell>
          <cell r="E57">
            <v>84</v>
          </cell>
          <cell r="F57">
            <v>120</v>
          </cell>
          <cell r="G57">
            <v>215</v>
          </cell>
          <cell r="H57">
            <v>15</v>
          </cell>
        </row>
        <row r="58">
          <cell r="B58" t="str">
            <v>D</v>
          </cell>
          <cell r="C58" t="str">
            <v>Clear</v>
          </cell>
          <cell r="D58">
            <v>5</v>
          </cell>
          <cell r="E58">
            <v>84</v>
          </cell>
          <cell r="F58">
            <v>72</v>
          </cell>
          <cell r="G58">
            <v>20</v>
          </cell>
          <cell r="H58">
            <v>5</v>
          </cell>
        </row>
        <row r="59">
          <cell r="B59" t="str">
            <v>D</v>
          </cell>
          <cell r="C59" t="str">
            <v>Clear</v>
          </cell>
          <cell r="D59">
            <v>5</v>
          </cell>
          <cell r="E59">
            <v>96</v>
          </cell>
          <cell r="F59">
            <v>120</v>
          </cell>
          <cell r="G59">
            <v>175</v>
          </cell>
          <cell r="H59">
            <v>95</v>
          </cell>
        </row>
        <row r="60">
          <cell r="B60" t="str">
            <v>D</v>
          </cell>
          <cell r="C60" t="str">
            <v>Clear</v>
          </cell>
          <cell r="D60">
            <v>5</v>
          </cell>
          <cell r="E60">
            <v>84</v>
          </cell>
          <cell r="F60">
            <v>72</v>
          </cell>
          <cell r="G60">
            <v>20</v>
          </cell>
          <cell r="H60">
            <v>5</v>
          </cell>
        </row>
        <row r="61">
          <cell r="B61" t="str">
            <v>D</v>
          </cell>
          <cell r="C61" t="str">
            <v>Clear</v>
          </cell>
          <cell r="D61">
            <v>5</v>
          </cell>
          <cell r="E61">
            <v>96</v>
          </cell>
          <cell r="F61">
            <v>120</v>
          </cell>
          <cell r="G61">
            <v>45</v>
          </cell>
          <cell r="H61">
            <v>15</v>
          </cell>
        </row>
        <row r="62">
          <cell r="B62" t="str">
            <v>T</v>
          </cell>
          <cell r="C62" t="str">
            <v>Bronze</v>
          </cell>
          <cell r="D62">
            <v>5</v>
          </cell>
          <cell r="E62">
            <v>84</v>
          </cell>
          <cell r="F62">
            <v>120</v>
          </cell>
          <cell r="G62">
            <v>480</v>
          </cell>
          <cell r="H62">
            <v>30</v>
          </cell>
        </row>
        <row r="63">
          <cell r="B63" t="str">
            <v>T</v>
          </cell>
          <cell r="C63" t="str">
            <v>Bronze</v>
          </cell>
          <cell r="D63">
            <v>6</v>
          </cell>
          <cell r="E63">
            <v>84</v>
          </cell>
          <cell r="F63">
            <v>120</v>
          </cell>
          <cell r="G63">
            <v>225</v>
          </cell>
          <cell r="H63">
            <v>15</v>
          </cell>
        </row>
        <row r="64">
          <cell r="B64" t="str">
            <v>T</v>
          </cell>
          <cell r="C64" t="str">
            <v>Bronze</v>
          </cell>
          <cell r="D64">
            <v>5</v>
          </cell>
          <cell r="E64">
            <v>84</v>
          </cell>
          <cell r="F64">
            <v>120</v>
          </cell>
          <cell r="G64">
            <v>585</v>
          </cell>
          <cell r="H64">
            <v>35</v>
          </cell>
        </row>
        <row r="65">
          <cell r="B65" t="str">
            <v>T</v>
          </cell>
          <cell r="C65" t="str">
            <v>Bronze</v>
          </cell>
          <cell r="D65">
            <v>6</v>
          </cell>
          <cell r="E65">
            <v>84</v>
          </cell>
          <cell r="F65">
            <v>120</v>
          </cell>
          <cell r="G65">
            <v>185</v>
          </cell>
          <cell r="H65">
            <v>35</v>
          </cell>
        </row>
        <row r="67">
          <cell r="B67" t="str">
            <v>D</v>
          </cell>
          <cell r="C67" t="str">
            <v>Clear</v>
          </cell>
          <cell r="D67">
            <v>5</v>
          </cell>
          <cell r="E67">
            <v>96</v>
          </cell>
          <cell r="F67">
            <v>72</v>
          </cell>
          <cell r="G67">
            <v>30</v>
          </cell>
          <cell r="H67">
            <v>15</v>
          </cell>
        </row>
        <row r="68">
          <cell r="B68" t="str">
            <v>D</v>
          </cell>
          <cell r="C68" t="str">
            <v>Clear</v>
          </cell>
          <cell r="D68">
            <v>6</v>
          </cell>
          <cell r="E68">
            <v>96</v>
          </cell>
          <cell r="F68">
            <v>84</v>
          </cell>
          <cell r="G68">
            <v>360</v>
          </cell>
          <cell r="H68">
            <v>15</v>
          </cell>
        </row>
        <row r="69">
          <cell r="B69" t="str">
            <v>D</v>
          </cell>
          <cell r="C69" t="str">
            <v>Clear</v>
          </cell>
          <cell r="D69">
            <v>6</v>
          </cell>
          <cell r="E69">
            <v>96</v>
          </cell>
          <cell r="F69">
            <v>120</v>
          </cell>
          <cell r="G69">
            <v>165</v>
          </cell>
          <cell r="H69">
            <v>55</v>
          </cell>
        </row>
        <row r="70">
          <cell r="B70" t="str">
            <v>D</v>
          </cell>
          <cell r="C70" t="str">
            <v>Clear</v>
          </cell>
          <cell r="D70">
            <v>6</v>
          </cell>
          <cell r="E70">
            <v>96</v>
          </cell>
          <cell r="F70">
            <v>144</v>
          </cell>
          <cell r="G70">
            <v>215</v>
          </cell>
          <cell r="H70">
            <v>75</v>
          </cell>
        </row>
        <row r="71">
          <cell r="B71" t="str">
            <v>D</v>
          </cell>
          <cell r="C71" t="str">
            <v>Clear</v>
          </cell>
          <cell r="D71">
            <v>5</v>
          </cell>
          <cell r="E71">
            <v>96</v>
          </cell>
          <cell r="F71">
            <v>72</v>
          </cell>
          <cell r="G71">
            <v>205</v>
          </cell>
          <cell r="H71">
            <v>5</v>
          </cell>
        </row>
        <row r="72">
          <cell r="B72" t="str">
            <v>D</v>
          </cell>
          <cell r="C72" t="str">
            <v>Clear</v>
          </cell>
          <cell r="D72">
            <v>5</v>
          </cell>
          <cell r="E72">
            <v>96</v>
          </cell>
          <cell r="F72">
            <v>84</v>
          </cell>
          <cell r="G72">
            <v>45</v>
          </cell>
          <cell r="H72">
            <v>10</v>
          </cell>
        </row>
        <row r="73">
          <cell r="B73" t="str">
            <v>D</v>
          </cell>
          <cell r="C73" t="str">
            <v>Clear</v>
          </cell>
          <cell r="D73">
            <v>6</v>
          </cell>
          <cell r="E73">
            <v>96</v>
          </cell>
          <cell r="F73">
            <v>60</v>
          </cell>
          <cell r="G73">
            <v>170</v>
          </cell>
          <cell r="H73">
            <v>10</v>
          </cell>
        </row>
        <row r="74">
          <cell r="B74" t="str">
            <v>D</v>
          </cell>
          <cell r="C74" t="str">
            <v>Clear</v>
          </cell>
          <cell r="D74">
            <v>5</v>
          </cell>
          <cell r="E74">
            <v>96</v>
          </cell>
          <cell r="F74">
            <v>84</v>
          </cell>
          <cell r="G74">
            <v>225</v>
          </cell>
          <cell r="H74">
            <v>25</v>
          </cell>
        </row>
        <row r="75">
          <cell r="B75" t="str">
            <v>D</v>
          </cell>
          <cell r="C75" t="str">
            <v>Clear</v>
          </cell>
          <cell r="D75">
            <v>5</v>
          </cell>
          <cell r="E75">
            <v>72</v>
          </cell>
          <cell r="F75">
            <v>120</v>
          </cell>
          <cell r="G75">
            <v>230</v>
          </cell>
          <cell r="H75">
            <v>25</v>
          </cell>
        </row>
        <row r="76">
          <cell r="B76" t="str">
            <v>D</v>
          </cell>
          <cell r="C76" t="str">
            <v>Clear</v>
          </cell>
          <cell r="D76">
            <v>5</v>
          </cell>
          <cell r="E76">
            <v>84</v>
          </cell>
          <cell r="F76">
            <v>120</v>
          </cell>
          <cell r="G76">
            <v>315</v>
          </cell>
          <cell r="H76">
            <v>25</v>
          </cell>
        </row>
        <row r="77">
          <cell r="B77" t="str">
            <v>D</v>
          </cell>
          <cell r="C77" t="str">
            <v>Clear</v>
          </cell>
          <cell r="D77">
            <v>3</v>
          </cell>
          <cell r="E77">
            <v>48</v>
          </cell>
          <cell r="F77">
            <v>72</v>
          </cell>
          <cell r="G77">
            <v>190</v>
          </cell>
          <cell r="H77">
            <v>15</v>
          </cell>
        </row>
        <row r="78">
          <cell r="B78" t="str">
            <v>D</v>
          </cell>
          <cell r="C78" t="str">
            <v>Clear</v>
          </cell>
          <cell r="D78">
            <v>5</v>
          </cell>
          <cell r="E78">
            <v>84</v>
          </cell>
          <cell r="F78">
            <v>60</v>
          </cell>
          <cell r="G78">
            <v>150</v>
          </cell>
          <cell r="H78">
            <v>15</v>
          </cell>
        </row>
        <row r="79">
          <cell r="B79" t="str">
            <v>D</v>
          </cell>
          <cell r="C79" t="str">
            <v>Clear</v>
          </cell>
          <cell r="D79">
            <v>5</v>
          </cell>
          <cell r="E79">
            <v>84</v>
          </cell>
          <cell r="F79">
            <v>120</v>
          </cell>
          <cell r="G79">
            <v>320</v>
          </cell>
          <cell r="H79">
            <v>15</v>
          </cell>
        </row>
        <row r="80">
          <cell r="B80" t="str">
            <v>D</v>
          </cell>
          <cell r="C80" t="str">
            <v>Clear</v>
          </cell>
          <cell r="D80">
            <v>6</v>
          </cell>
          <cell r="E80">
            <v>72</v>
          </cell>
          <cell r="F80">
            <v>120</v>
          </cell>
          <cell r="G80">
            <v>110</v>
          </cell>
          <cell r="H80">
            <v>35</v>
          </cell>
        </row>
        <row r="81">
          <cell r="B81" t="str">
            <v>D</v>
          </cell>
          <cell r="C81" t="str">
            <v>Clear</v>
          </cell>
          <cell r="D81">
            <v>2</v>
          </cell>
          <cell r="E81">
            <v>30</v>
          </cell>
          <cell r="F81">
            <v>50</v>
          </cell>
          <cell r="G81">
            <v>65</v>
          </cell>
          <cell r="H81">
            <v>15</v>
          </cell>
        </row>
        <row r="82">
          <cell r="B82" t="str">
            <v>D</v>
          </cell>
          <cell r="C82" t="str">
            <v>Clear</v>
          </cell>
          <cell r="D82">
            <v>2</v>
          </cell>
          <cell r="E82">
            <v>48</v>
          </cell>
          <cell r="F82">
            <v>36</v>
          </cell>
          <cell r="G82">
            <v>620</v>
          </cell>
          <cell r="H82">
            <v>115</v>
          </cell>
        </row>
        <row r="83">
          <cell r="B83" t="str">
            <v>D</v>
          </cell>
          <cell r="C83" t="str">
            <v>Clear</v>
          </cell>
          <cell r="D83">
            <v>5</v>
          </cell>
          <cell r="E83">
            <v>72</v>
          </cell>
          <cell r="F83">
            <v>120</v>
          </cell>
          <cell r="G83">
            <v>85</v>
          </cell>
          <cell r="H83">
            <v>10</v>
          </cell>
        </row>
        <row r="84">
          <cell r="B84" t="str">
            <v>D</v>
          </cell>
          <cell r="C84" t="str">
            <v>Clear</v>
          </cell>
          <cell r="D84">
            <v>2</v>
          </cell>
          <cell r="E84">
            <v>30</v>
          </cell>
          <cell r="F84">
            <v>50</v>
          </cell>
          <cell r="G84">
            <v>150</v>
          </cell>
          <cell r="H84">
            <v>5</v>
          </cell>
        </row>
        <row r="85">
          <cell r="B85" t="str">
            <v>D</v>
          </cell>
          <cell r="C85" t="str">
            <v>Clear</v>
          </cell>
          <cell r="D85">
            <v>3</v>
          </cell>
          <cell r="E85">
            <v>48</v>
          </cell>
          <cell r="F85">
            <v>72</v>
          </cell>
          <cell r="G85">
            <v>240</v>
          </cell>
          <cell r="H85">
            <v>45</v>
          </cell>
        </row>
        <row r="86">
          <cell r="B86" t="str">
            <v>T</v>
          </cell>
          <cell r="C86" t="str">
            <v>Dark</v>
          </cell>
          <cell r="D86">
            <v>5</v>
          </cell>
          <cell r="E86">
            <v>84</v>
          </cell>
          <cell r="F86">
            <v>120</v>
          </cell>
          <cell r="G86">
            <v>275</v>
          </cell>
          <cell r="H86">
            <v>15</v>
          </cell>
        </row>
        <row r="87">
          <cell r="B87" t="str">
            <v>T</v>
          </cell>
          <cell r="C87" t="str">
            <v>Dark</v>
          </cell>
          <cell r="D87">
            <v>6</v>
          </cell>
          <cell r="E87">
            <v>84</v>
          </cell>
          <cell r="F87">
            <v>120</v>
          </cell>
          <cell r="G87">
            <v>80</v>
          </cell>
          <cell r="H87">
            <v>15</v>
          </cell>
        </row>
        <row r="88">
          <cell r="B88" t="str">
            <v>D</v>
          </cell>
          <cell r="C88" t="str">
            <v>Clear</v>
          </cell>
          <cell r="D88">
            <v>3</v>
          </cell>
          <cell r="E88">
            <v>42</v>
          </cell>
          <cell r="F88">
            <v>72</v>
          </cell>
          <cell r="G88">
            <v>310</v>
          </cell>
          <cell r="H88">
            <v>10</v>
          </cell>
        </row>
        <row r="89">
          <cell r="B89" t="str">
            <v>D</v>
          </cell>
          <cell r="C89" t="str">
            <v>Clear</v>
          </cell>
          <cell r="D89">
            <v>6</v>
          </cell>
          <cell r="E89">
            <v>84</v>
          </cell>
          <cell r="F89">
            <v>120</v>
          </cell>
          <cell r="G89">
            <v>70</v>
          </cell>
          <cell r="H89">
            <v>10</v>
          </cell>
        </row>
        <row r="90">
          <cell r="B90" t="str">
            <v>T</v>
          </cell>
          <cell r="C90" t="str">
            <v>Dark</v>
          </cell>
          <cell r="D90">
            <v>6</v>
          </cell>
          <cell r="E90">
            <v>84</v>
          </cell>
          <cell r="F90">
            <v>120</v>
          </cell>
          <cell r="G90">
            <v>40</v>
          </cell>
          <cell r="H90">
            <v>15</v>
          </cell>
        </row>
        <row r="91">
          <cell r="B91" t="str">
            <v>D</v>
          </cell>
          <cell r="C91" t="str">
            <v>Clear</v>
          </cell>
          <cell r="D91">
            <v>5</v>
          </cell>
          <cell r="E91">
            <v>84</v>
          </cell>
          <cell r="F91">
            <v>120</v>
          </cell>
          <cell r="G91">
            <v>770</v>
          </cell>
          <cell r="H91">
            <v>305</v>
          </cell>
        </row>
        <row r="92">
          <cell r="B92" t="str">
            <v>D</v>
          </cell>
          <cell r="C92" t="str">
            <v>Clear</v>
          </cell>
          <cell r="D92">
            <v>5</v>
          </cell>
          <cell r="E92">
            <v>96</v>
          </cell>
          <cell r="F92">
            <v>84</v>
          </cell>
          <cell r="G92">
            <v>495.00000000000006</v>
          </cell>
          <cell r="H92">
            <v>10</v>
          </cell>
        </row>
        <row r="93">
          <cell r="B93" t="str">
            <v>D</v>
          </cell>
          <cell r="C93" t="str">
            <v>Clear</v>
          </cell>
          <cell r="D93">
            <v>5</v>
          </cell>
          <cell r="E93">
            <v>84</v>
          </cell>
          <cell r="F93">
            <v>120</v>
          </cell>
          <cell r="G93">
            <v>75</v>
          </cell>
          <cell r="H93">
            <v>15</v>
          </cell>
        </row>
        <row r="94">
          <cell r="B94" t="str">
            <v>D</v>
          </cell>
          <cell r="C94" t="str">
            <v>Clear</v>
          </cell>
          <cell r="D94">
            <v>5</v>
          </cell>
          <cell r="E94">
            <v>96</v>
          </cell>
          <cell r="F94">
            <v>120</v>
          </cell>
          <cell r="G94">
            <v>200</v>
          </cell>
          <cell r="H94">
            <v>15</v>
          </cell>
        </row>
        <row r="95">
          <cell r="B95" t="str">
            <v>D</v>
          </cell>
          <cell r="C95" t="str">
            <v>Clear</v>
          </cell>
          <cell r="D95">
            <v>5</v>
          </cell>
          <cell r="E95">
            <v>96</v>
          </cell>
          <cell r="F95">
            <v>84</v>
          </cell>
          <cell r="G95">
            <v>70</v>
          </cell>
          <cell r="H95">
            <v>5</v>
          </cell>
        </row>
        <row r="96">
          <cell r="B96" t="str">
            <v>D</v>
          </cell>
          <cell r="C96" t="str">
            <v>Clear</v>
          </cell>
          <cell r="D96">
            <v>5</v>
          </cell>
          <cell r="E96">
            <v>96</v>
          </cell>
          <cell r="F96">
            <v>144</v>
          </cell>
          <cell r="G96">
            <v>185</v>
          </cell>
          <cell r="H96">
            <v>15</v>
          </cell>
        </row>
        <row r="97">
          <cell r="B97" t="str">
            <v>D</v>
          </cell>
          <cell r="C97" t="str">
            <v>Clear</v>
          </cell>
          <cell r="D97">
            <v>6</v>
          </cell>
          <cell r="E97">
            <v>96</v>
          </cell>
          <cell r="F97">
            <v>144</v>
          </cell>
          <cell r="G97">
            <v>165</v>
          </cell>
          <cell r="H97">
            <v>15</v>
          </cell>
        </row>
        <row r="98">
          <cell r="B98" t="str">
            <v>M</v>
          </cell>
          <cell r="C98" t="str">
            <v>Clear</v>
          </cell>
          <cell r="D98">
            <v>6</v>
          </cell>
          <cell r="E98">
            <v>30</v>
          </cell>
          <cell r="F98">
            <v>60</v>
          </cell>
          <cell r="G98">
            <v>690</v>
          </cell>
          <cell r="H98">
            <v>50</v>
          </cell>
        </row>
        <row r="99">
          <cell r="B99" t="str">
            <v>M</v>
          </cell>
          <cell r="C99" t="str">
            <v>Clear</v>
          </cell>
          <cell r="D99">
            <v>6</v>
          </cell>
          <cell r="E99">
            <v>30</v>
          </cell>
          <cell r="F99">
            <v>60</v>
          </cell>
          <cell r="G99">
            <v>75</v>
          </cell>
          <cell r="H99">
            <v>5</v>
          </cell>
        </row>
        <row r="100">
          <cell r="B100" t="str">
            <v>M</v>
          </cell>
          <cell r="C100" t="str">
            <v>Clear</v>
          </cell>
          <cell r="D100">
            <v>6</v>
          </cell>
          <cell r="E100">
            <v>30</v>
          </cell>
          <cell r="F100">
            <v>54.5</v>
          </cell>
          <cell r="G100">
            <v>210</v>
          </cell>
          <cell r="H100">
            <v>15</v>
          </cell>
        </row>
        <row r="101">
          <cell r="B101" t="str">
            <v>D</v>
          </cell>
          <cell r="C101" t="str">
            <v>Clear</v>
          </cell>
          <cell r="D101">
            <v>5</v>
          </cell>
          <cell r="E101">
            <v>96</v>
          </cell>
          <cell r="F101">
            <v>72</v>
          </cell>
          <cell r="G101">
            <v>395</v>
          </cell>
          <cell r="H101">
            <v>15</v>
          </cell>
        </row>
        <row r="102">
          <cell r="B102" t="str">
            <v>D</v>
          </cell>
          <cell r="C102" t="str">
            <v>Clear</v>
          </cell>
          <cell r="D102">
            <v>5</v>
          </cell>
          <cell r="E102">
            <v>72</v>
          </cell>
          <cell r="F102">
            <v>120</v>
          </cell>
          <cell r="G102">
            <v>115</v>
          </cell>
          <cell r="H102">
            <v>15</v>
          </cell>
        </row>
        <row r="103">
          <cell r="B103" t="str">
            <v>D</v>
          </cell>
          <cell r="C103" t="str">
            <v>Clear</v>
          </cell>
          <cell r="D103">
            <v>6</v>
          </cell>
          <cell r="E103">
            <v>96</v>
          </cell>
          <cell r="F103">
            <v>144</v>
          </cell>
          <cell r="G103">
            <v>110</v>
          </cell>
          <cell r="H103">
            <v>55</v>
          </cell>
        </row>
        <row r="104">
          <cell r="B104" t="str">
            <v>T</v>
          </cell>
          <cell r="C104" t="str">
            <v>Bronze</v>
          </cell>
          <cell r="D104">
            <v>5</v>
          </cell>
          <cell r="E104">
            <v>84</v>
          </cell>
          <cell r="F104">
            <v>120</v>
          </cell>
          <cell r="G104">
            <v>95</v>
          </cell>
          <cell r="H104">
            <v>15</v>
          </cell>
        </row>
        <row r="105">
          <cell r="B105" t="str">
            <v>T</v>
          </cell>
          <cell r="C105" t="str">
            <v>Grey</v>
          </cell>
          <cell r="D105">
            <v>6</v>
          </cell>
          <cell r="E105">
            <v>84</v>
          </cell>
          <cell r="F105">
            <v>126</v>
          </cell>
          <cell r="G105">
            <v>25</v>
          </cell>
          <cell r="H105">
            <v>15</v>
          </cell>
        </row>
        <row r="106">
          <cell r="B106" t="str">
            <v>D</v>
          </cell>
          <cell r="C106" t="str">
            <v>Clear</v>
          </cell>
          <cell r="D106">
            <v>5</v>
          </cell>
          <cell r="E106">
            <v>84</v>
          </cell>
          <cell r="F106">
            <v>72</v>
          </cell>
          <cell r="G106">
            <v>435</v>
          </cell>
          <cell r="H106">
            <v>25</v>
          </cell>
        </row>
        <row r="107">
          <cell r="B107" t="str">
            <v>D</v>
          </cell>
          <cell r="C107" t="str">
            <v>Clear</v>
          </cell>
          <cell r="D107">
            <v>5</v>
          </cell>
          <cell r="E107">
            <v>96</v>
          </cell>
          <cell r="F107">
            <v>72</v>
          </cell>
          <cell r="G107">
            <v>85</v>
          </cell>
          <cell r="H107">
            <v>5</v>
          </cell>
        </row>
        <row r="108">
          <cell r="B108" t="str">
            <v>D</v>
          </cell>
          <cell r="C108" t="str">
            <v>Clear</v>
          </cell>
          <cell r="D108">
            <v>6</v>
          </cell>
          <cell r="E108">
            <v>96</v>
          </cell>
          <cell r="F108">
            <v>72</v>
          </cell>
          <cell r="G108">
            <v>160</v>
          </cell>
          <cell r="H108">
            <v>5</v>
          </cell>
        </row>
        <row r="109">
          <cell r="B109" t="str">
            <v>T</v>
          </cell>
          <cell r="C109" t="str">
            <v>Grey</v>
          </cell>
          <cell r="D109">
            <v>6</v>
          </cell>
          <cell r="E109">
            <v>84</v>
          </cell>
          <cell r="F109">
            <v>126</v>
          </cell>
          <cell r="G109">
            <v>90</v>
          </cell>
          <cell r="H109">
            <v>15</v>
          </cell>
        </row>
        <row r="110">
          <cell r="B110" t="str">
            <v>D</v>
          </cell>
          <cell r="C110" t="str">
            <v>Clear</v>
          </cell>
          <cell r="D110">
            <v>5</v>
          </cell>
          <cell r="E110">
            <v>96</v>
          </cell>
          <cell r="F110">
            <v>84</v>
          </cell>
          <cell r="G110">
            <v>110</v>
          </cell>
          <cell r="H110">
            <v>10</v>
          </cell>
        </row>
        <row r="111">
          <cell r="B111" t="str">
            <v>D</v>
          </cell>
          <cell r="C111" t="str">
            <v>Clear</v>
          </cell>
          <cell r="D111">
            <v>6</v>
          </cell>
          <cell r="E111">
            <v>96</v>
          </cell>
          <cell r="F111">
            <v>130</v>
          </cell>
          <cell r="G111">
            <v>325</v>
          </cell>
          <cell r="H111">
            <v>205</v>
          </cell>
        </row>
        <row r="112">
          <cell r="B112" t="str">
            <v>D</v>
          </cell>
          <cell r="C112" t="str">
            <v>Clear</v>
          </cell>
          <cell r="D112">
            <v>5</v>
          </cell>
          <cell r="E112">
            <v>96</v>
          </cell>
          <cell r="F112">
            <v>84</v>
          </cell>
          <cell r="G112">
            <v>415</v>
          </cell>
          <cell r="H112">
            <v>15</v>
          </cell>
        </row>
        <row r="113">
          <cell r="B113" t="str">
            <v>D</v>
          </cell>
          <cell r="C113" t="str">
            <v>Clear</v>
          </cell>
          <cell r="D113">
            <v>5</v>
          </cell>
          <cell r="E113">
            <v>96</v>
          </cell>
          <cell r="F113">
            <v>120</v>
          </cell>
          <cell r="G113">
            <v>20</v>
          </cell>
          <cell r="H113">
            <v>10</v>
          </cell>
        </row>
        <row r="114">
          <cell r="B114" t="str">
            <v>D</v>
          </cell>
          <cell r="C114" t="str">
            <v>Clear</v>
          </cell>
          <cell r="D114">
            <v>5</v>
          </cell>
          <cell r="E114">
            <v>96</v>
          </cell>
          <cell r="F114">
            <v>84</v>
          </cell>
          <cell r="G114">
            <v>265</v>
          </cell>
          <cell r="H114">
            <v>210</v>
          </cell>
        </row>
        <row r="115">
          <cell r="B115" t="str">
            <v>D</v>
          </cell>
          <cell r="C115" t="str">
            <v>Clear</v>
          </cell>
          <cell r="D115">
            <v>5</v>
          </cell>
          <cell r="E115">
            <v>96</v>
          </cell>
          <cell r="F115">
            <v>120</v>
          </cell>
          <cell r="G115">
            <v>250</v>
          </cell>
          <cell r="H115">
            <v>60</v>
          </cell>
        </row>
        <row r="117">
          <cell r="G117" t="str">
            <v xml:space="preserve">Exp.prod.time </v>
          </cell>
          <cell r="H117" t="str">
            <v>Loss time</v>
          </cell>
        </row>
        <row r="119">
          <cell r="B119" t="str">
            <v>D</v>
          </cell>
          <cell r="C119" t="str">
            <v>Clear</v>
          </cell>
          <cell r="D119">
            <v>6</v>
          </cell>
          <cell r="E119">
            <v>72</v>
          </cell>
          <cell r="F119">
            <v>100</v>
          </cell>
          <cell r="G119">
            <v>150</v>
          </cell>
          <cell r="H119">
            <v>20</v>
          </cell>
        </row>
        <row r="120">
          <cell r="B120" t="str">
            <v>D</v>
          </cell>
          <cell r="C120" t="str">
            <v>Clear</v>
          </cell>
          <cell r="D120">
            <v>6</v>
          </cell>
          <cell r="E120">
            <v>96</v>
          </cell>
          <cell r="F120">
            <v>100</v>
          </cell>
          <cell r="G120">
            <v>320</v>
          </cell>
          <cell r="H120">
            <v>135</v>
          </cell>
        </row>
        <row r="121">
          <cell r="B121" t="str">
            <v>D</v>
          </cell>
          <cell r="C121" t="str">
            <v>Clear</v>
          </cell>
          <cell r="D121">
            <v>6</v>
          </cell>
          <cell r="E121">
            <v>60</v>
          </cell>
          <cell r="F121">
            <v>120</v>
          </cell>
          <cell r="G121">
            <v>75</v>
          </cell>
          <cell r="H121">
            <v>15</v>
          </cell>
        </row>
        <row r="122">
          <cell r="B122" t="str">
            <v>D</v>
          </cell>
          <cell r="C122" t="str">
            <v>Clear</v>
          </cell>
          <cell r="D122">
            <v>5</v>
          </cell>
          <cell r="E122">
            <v>84</v>
          </cell>
          <cell r="F122">
            <v>130</v>
          </cell>
          <cell r="G122">
            <v>210</v>
          </cell>
          <cell r="H122">
            <v>20</v>
          </cell>
        </row>
        <row r="123">
          <cell r="B123" t="str">
            <v>D</v>
          </cell>
          <cell r="C123" t="str">
            <v>Clear</v>
          </cell>
          <cell r="D123">
            <v>6</v>
          </cell>
          <cell r="E123">
            <v>60</v>
          </cell>
          <cell r="F123">
            <v>100</v>
          </cell>
          <cell r="G123">
            <v>155</v>
          </cell>
          <cell r="H123">
            <v>15</v>
          </cell>
        </row>
        <row r="124">
          <cell r="B124" t="str">
            <v>D</v>
          </cell>
          <cell r="C124" t="str">
            <v>Clear</v>
          </cell>
          <cell r="D124">
            <v>6</v>
          </cell>
          <cell r="E124">
            <v>60</v>
          </cell>
          <cell r="F124">
            <v>120</v>
          </cell>
          <cell r="G124">
            <v>85</v>
          </cell>
          <cell r="H124">
            <v>5</v>
          </cell>
        </row>
        <row r="125">
          <cell r="B125" t="str">
            <v>D</v>
          </cell>
          <cell r="C125" t="str">
            <v>Clear</v>
          </cell>
          <cell r="D125">
            <v>5</v>
          </cell>
          <cell r="E125">
            <v>84</v>
          </cell>
          <cell r="F125">
            <v>130</v>
          </cell>
          <cell r="G125">
            <v>335</v>
          </cell>
          <cell r="H125">
            <v>75</v>
          </cell>
        </row>
        <row r="126">
          <cell r="B126" t="str">
            <v>D</v>
          </cell>
          <cell r="C126" t="str">
            <v>Clear</v>
          </cell>
          <cell r="D126">
            <v>5</v>
          </cell>
          <cell r="E126">
            <v>96</v>
          </cell>
          <cell r="F126">
            <v>144</v>
          </cell>
          <cell r="G126">
            <v>285</v>
          </cell>
          <cell r="H126">
            <v>25</v>
          </cell>
        </row>
        <row r="127">
          <cell r="B127" t="str">
            <v>D</v>
          </cell>
          <cell r="C127" t="str">
            <v>Clear</v>
          </cell>
          <cell r="D127">
            <v>6</v>
          </cell>
          <cell r="E127">
            <v>96</v>
          </cell>
          <cell r="F127">
            <v>144</v>
          </cell>
          <cell r="G127">
            <v>205</v>
          </cell>
          <cell r="H127">
            <v>25</v>
          </cell>
        </row>
        <row r="128">
          <cell r="B128" t="str">
            <v>D</v>
          </cell>
          <cell r="C128" t="str">
            <v>Clear</v>
          </cell>
          <cell r="D128">
            <v>5</v>
          </cell>
          <cell r="E128">
            <v>84</v>
          </cell>
          <cell r="F128">
            <v>60</v>
          </cell>
          <cell r="G128">
            <v>295</v>
          </cell>
          <cell r="H128">
            <v>25</v>
          </cell>
        </row>
        <row r="129">
          <cell r="B129" t="str">
            <v>D</v>
          </cell>
          <cell r="C129" t="str">
            <v>Clear</v>
          </cell>
          <cell r="D129">
            <v>5</v>
          </cell>
          <cell r="E129">
            <v>96</v>
          </cell>
          <cell r="F129">
            <v>120</v>
          </cell>
          <cell r="G129">
            <v>240</v>
          </cell>
          <cell r="H129">
            <v>20</v>
          </cell>
        </row>
        <row r="130">
          <cell r="B130" t="str">
            <v>D</v>
          </cell>
          <cell r="C130" t="str">
            <v>Clear</v>
          </cell>
          <cell r="D130">
            <v>5</v>
          </cell>
          <cell r="E130">
            <v>96</v>
          </cell>
          <cell r="F130">
            <v>144</v>
          </cell>
          <cell r="G130">
            <v>25</v>
          </cell>
          <cell r="H130">
            <v>5</v>
          </cell>
        </row>
        <row r="131">
          <cell r="B131" t="str">
            <v>D</v>
          </cell>
          <cell r="C131" t="str">
            <v>Clear</v>
          </cell>
          <cell r="D131">
            <v>6</v>
          </cell>
          <cell r="E131">
            <v>72</v>
          </cell>
          <cell r="F131">
            <v>120</v>
          </cell>
          <cell r="G131">
            <v>125</v>
          </cell>
          <cell r="H131">
            <v>20</v>
          </cell>
        </row>
        <row r="132">
          <cell r="B132" t="str">
            <v>D</v>
          </cell>
          <cell r="C132" t="str">
            <v>Clear</v>
          </cell>
          <cell r="D132">
            <v>6</v>
          </cell>
          <cell r="E132">
            <v>84</v>
          </cell>
          <cell r="F132">
            <v>120</v>
          </cell>
          <cell r="G132">
            <v>135</v>
          </cell>
          <cell r="H132">
            <v>20</v>
          </cell>
        </row>
        <row r="133">
          <cell r="B133" t="str">
            <v>C</v>
          </cell>
          <cell r="C133" t="str">
            <v>Clear</v>
          </cell>
          <cell r="D133">
            <v>1.1000000000000001</v>
          </cell>
          <cell r="E133">
            <v>49</v>
          </cell>
          <cell r="F133">
            <v>43</v>
          </cell>
          <cell r="G133">
            <v>735</v>
          </cell>
          <cell r="H133">
            <v>145</v>
          </cell>
        </row>
        <row r="134">
          <cell r="B134" t="str">
            <v>C</v>
          </cell>
          <cell r="C134" t="str">
            <v>Clear</v>
          </cell>
          <cell r="D134">
            <v>1.1000000000000001</v>
          </cell>
          <cell r="E134">
            <v>43</v>
          </cell>
          <cell r="F134">
            <v>49</v>
          </cell>
          <cell r="G134">
            <v>360</v>
          </cell>
          <cell r="H134">
            <v>10</v>
          </cell>
        </row>
        <row r="135">
          <cell r="B135" t="str">
            <v>D</v>
          </cell>
          <cell r="C135" t="str">
            <v>Clear</v>
          </cell>
          <cell r="D135">
            <v>2</v>
          </cell>
          <cell r="E135">
            <v>30</v>
          </cell>
          <cell r="F135">
            <v>50</v>
          </cell>
          <cell r="G135">
            <v>130</v>
          </cell>
          <cell r="H135">
            <v>15</v>
          </cell>
        </row>
        <row r="136">
          <cell r="B136" t="str">
            <v>D</v>
          </cell>
          <cell r="C136" t="str">
            <v>Clear</v>
          </cell>
          <cell r="D136">
            <v>3</v>
          </cell>
          <cell r="E136">
            <v>30</v>
          </cell>
          <cell r="F136">
            <v>60</v>
          </cell>
          <cell r="G136">
            <v>150</v>
          </cell>
          <cell r="H136">
            <v>30</v>
          </cell>
        </row>
        <row r="137">
          <cell r="B137" t="str">
            <v>D</v>
          </cell>
          <cell r="C137" t="str">
            <v>Clear</v>
          </cell>
          <cell r="D137">
            <v>3</v>
          </cell>
          <cell r="E137">
            <v>36</v>
          </cell>
          <cell r="F137">
            <v>60</v>
          </cell>
          <cell r="G137">
            <v>130</v>
          </cell>
          <cell r="H137">
            <v>15</v>
          </cell>
        </row>
        <row r="138">
          <cell r="B138" t="str">
            <v>D</v>
          </cell>
          <cell r="C138" t="str">
            <v>Clear</v>
          </cell>
          <cell r="D138">
            <v>3</v>
          </cell>
          <cell r="E138">
            <v>48</v>
          </cell>
          <cell r="F138">
            <v>60</v>
          </cell>
          <cell r="G138">
            <v>185</v>
          </cell>
          <cell r="H138">
            <v>50</v>
          </cell>
        </row>
        <row r="139">
          <cell r="B139" t="str">
            <v>D</v>
          </cell>
          <cell r="C139" t="str">
            <v>Clear</v>
          </cell>
          <cell r="D139">
            <v>3</v>
          </cell>
          <cell r="E139">
            <v>48</v>
          </cell>
          <cell r="F139">
            <v>72</v>
          </cell>
          <cell r="G139">
            <v>240</v>
          </cell>
          <cell r="H139">
            <v>15</v>
          </cell>
        </row>
        <row r="140">
          <cell r="B140" t="str">
            <v>D</v>
          </cell>
          <cell r="C140" t="str">
            <v>Clear</v>
          </cell>
          <cell r="D140">
            <v>2</v>
          </cell>
          <cell r="E140">
            <v>30</v>
          </cell>
          <cell r="F140">
            <v>50</v>
          </cell>
          <cell r="G140">
            <v>25</v>
          </cell>
          <cell r="H140">
            <v>0</v>
          </cell>
        </row>
        <row r="141">
          <cell r="B141" t="str">
            <v>D</v>
          </cell>
          <cell r="C141" t="str">
            <v>Clear</v>
          </cell>
          <cell r="D141">
            <v>5</v>
          </cell>
          <cell r="E141">
            <v>84</v>
          </cell>
          <cell r="F141">
            <v>120</v>
          </cell>
          <cell r="G141">
            <v>60</v>
          </cell>
          <cell r="H141">
            <v>5</v>
          </cell>
        </row>
        <row r="142">
          <cell r="B142" t="str">
            <v>T</v>
          </cell>
          <cell r="C142" t="str">
            <v>Bronze</v>
          </cell>
          <cell r="D142">
            <v>6</v>
          </cell>
          <cell r="E142">
            <v>84</v>
          </cell>
          <cell r="F142">
            <v>120</v>
          </cell>
          <cell r="G142">
            <v>370</v>
          </cell>
          <cell r="H142">
            <v>15</v>
          </cell>
        </row>
        <row r="143">
          <cell r="B143" t="str">
            <v>D</v>
          </cell>
          <cell r="C143" t="str">
            <v>Clear</v>
          </cell>
          <cell r="D143">
            <v>5</v>
          </cell>
          <cell r="E143">
            <v>60</v>
          </cell>
          <cell r="F143">
            <v>120</v>
          </cell>
          <cell r="G143">
            <v>30</v>
          </cell>
          <cell r="H143">
            <v>15</v>
          </cell>
        </row>
        <row r="144">
          <cell r="B144" t="str">
            <v>D</v>
          </cell>
          <cell r="C144" t="str">
            <v>Clear</v>
          </cell>
          <cell r="D144">
            <v>5</v>
          </cell>
          <cell r="E144">
            <v>72</v>
          </cell>
          <cell r="F144">
            <v>120</v>
          </cell>
          <cell r="G144">
            <v>225</v>
          </cell>
          <cell r="H144">
            <v>15</v>
          </cell>
        </row>
        <row r="145">
          <cell r="B145" t="str">
            <v>D</v>
          </cell>
          <cell r="C145" t="str">
            <v>Clear</v>
          </cell>
          <cell r="D145">
            <v>5</v>
          </cell>
          <cell r="E145">
            <v>84</v>
          </cell>
          <cell r="F145">
            <v>120</v>
          </cell>
          <cell r="G145">
            <v>175</v>
          </cell>
          <cell r="H145">
            <v>0</v>
          </cell>
        </row>
        <row r="146">
          <cell r="B146" t="str">
            <v>T</v>
          </cell>
          <cell r="C146" t="str">
            <v>Bronze</v>
          </cell>
          <cell r="D146">
            <v>5</v>
          </cell>
          <cell r="E146">
            <v>84</v>
          </cell>
          <cell r="F146">
            <v>120</v>
          </cell>
          <cell r="G146">
            <v>50</v>
          </cell>
          <cell r="H146">
            <v>15</v>
          </cell>
        </row>
        <row r="147">
          <cell r="B147" t="str">
            <v>T</v>
          </cell>
          <cell r="C147" t="str">
            <v>Bronze</v>
          </cell>
          <cell r="D147">
            <v>5</v>
          </cell>
          <cell r="E147">
            <v>84</v>
          </cell>
          <cell r="F147">
            <v>120</v>
          </cell>
          <cell r="G147">
            <v>825</v>
          </cell>
          <cell r="H147">
            <v>15</v>
          </cell>
        </row>
        <row r="148">
          <cell r="B148" t="str">
            <v>T</v>
          </cell>
          <cell r="C148" t="str">
            <v>Bronze</v>
          </cell>
          <cell r="D148">
            <v>5</v>
          </cell>
          <cell r="E148">
            <v>84</v>
          </cell>
          <cell r="F148">
            <v>120</v>
          </cell>
          <cell r="G148">
            <v>610</v>
          </cell>
          <cell r="H148">
            <v>30</v>
          </cell>
        </row>
        <row r="149">
          <cell r="B149" t="str">
            <v>T</v>
          </cell>
          <cell r="C149" t="str">
            <v>Grey</v>
          </cell>
          <cell r="D149">
            <v>6</v>
          </cell>
          <cell r="E149">
            <v>84</v>
          </cell>
          <cell r="F149">
            <v>126</v>
          </cell>
          <cell r="G149">
            <v>200</v>
          </cell>
          <cell r="H149">
            <v>20</v>
          </cell>
        </row>
        <row r="150">
          <cell r="B150" t="str">
            <v>D</v>
          </cell>
          <cell r="C150" t="str">
            <v>Clear</v>
          </cell>
          <cell r="D150">
            <v>5</v>
          </cell>
          <cell r="E150">
            <v>96</v>
          </cell>
          <cell r="F150">
            <v>72</v>
          </cell>
          <cell r="G150">
            <v>420</v>
          </cell>
          <cell r="H150">
            <v>15</v>
          </cell>
        </row>
        <row r="151">
          <cell r="B151" t="str">
            <v>T</v>
          </cell>
          <cell r="C151" t="str">
            <v>Bronze</v>
          </cell>
          <cell r="D151">
            <v>5</v>
          </cell>
          <cell r="E151">
            <v>84</v>
          </cell>
          <cell r="F151">
            <v>120</v>
          </cell>
          <cell r="G151">
            <v>45</v>
          </cell>
          <cell r="H151">
            <v>0</v>
          </cell>
        </row>
        <row r="152">
          <cell r="B152" t="str">
            <v>D</v>
          </cell>
          <cell r="C152" t="str">
            <v>Clear</v>
          </cell>
          <cell r="D152">
            <v>6</v>
          </cell>
          <cell r="E152">
            <v>72</v>
          </cell>
          <cell r="F152">
            <v>120</v>
          </cell>
          <cell r="G152">
            <v>105</v>
          </cell>
          <cell r="H152">
            <v>0</v>
          </cell>
        </row>
        <row r="153">
          <cell r="B153" t="str">
            <v>T</v>
          </cell>
          <cell r="C153" t="str">
            <v>Grey</v>
          </cell>
          <cell r="D153">
            <v>5</v>
          </cell>
          <cell r="E153">
            <v>84</v>
          </cell>
          <cell r="F153">
            <v>126</v>
          </cell>
          <cell r="G153">
            <v>360</v>
          </cell>
          <cell r="H153">
            <v>15</v>
          </cell>
        </row>
        <row r="154">
          <cell r="B154" t="str">
            <v>T</v>
          </cell>
          <cell r="C154" t="str">
            <v>Grey</v>
          </cell>
          <cell r="D154">
            <v>5</v>
          </cell>
          <cell r="E154">
            <v>84</v>
          </cell>
          <cell r="F154">
            <v>126</v>
          </cell>
          <cell r="G154">
            <v>380</v>
          </cell>
          <cell r="H154">
            <v>120</v>
          </cell>
        </row>
        <row r="155">
          <cell r="B155" t="str">
            <v>T</v>
          </cell>
          <cell r="C155" t="str">
            <v>Grey</v>
          </cell>
          <cell r="D155">
            <v>6</v>
          </cell>
          <cell r="E155">
            <v>84</v>
          </cell>
          <cell r="F155">
            <v>126</v>
          </cell>
          <cell r="G155">
            <v>85</v>
          </cell>
          <cell r="H155">
            <v>5</v>
          </cell>
        </row>
        <row r="156">
          <cell r="B156" t="str">
            <v>T</v>
          </cell>
          <cell r="C156" t="str">
            <v>Dark</v>
          </cell>
          <cell r="D156">
            <v>5</v>
          </cell>
          <cell r="E156">
            <v>84</v>
          </cell>
          <cell r="F156">
            <v>120</v>
          </cell>
          <cell r="G156">
            <v>250</v>
          </cell>
          <cell r="H156">
            <v>15</v>
          </cell>
        </row>
        <row r="157">
          <cell r="B157" t="str">
            <v>T</v>
          </cell>
          <cell r="C157" t="str">
            <v>Grey</v>
          </cell>
          <cell r="D157">
            <v>6</v>
          </cell>
          <cell r="E157">
            <v>84</v>
          </cell>
          <cell r="F157">
            <v>126</v>
          </cell>
          <cell r="G157">
            <v>210</v>
          </cell>
          <cell r="H157">
            <v>0</v>
          </cell>
        </row>
        <row r="159">
          <cell r="B159" t="str">
            <v>D</v>
          </cell>
          <cell r="C159" t="str">
            <v>Clear</v>
          </cell>
          <cell r="D159">
            <v>5</v>
          </cell>
          <cell r="E159">
            <v>96</v>
          </cell>
          <cell r="F159">
            <v>144</v>
          </cell>
          <cell r="G159">
            <v>365</v>
          </cell>
          <cell r="H159">
            <v>45</v>
          </cell>
        </row>
        <row r="160">
          <cell r="B160" t="str">
            <v>D</v>
          </cell>
          <cell r="C160" t="str">
            <v>Clear</v>
          </cell>
          <cell r="D160">
            <v>6</v>
          </cell>
          <cell r="E160">
            <v>96</v>
          </cell>
          <cell r="F160">
            <v>120</v>
          </cell>
          <cell r="G160">
            <v>80</v>
          </cell>
          <cell r="H160">
            <v>20</v>
          </cell>
        </row>
        <row r="161">
          <cell r="B161" t="str">
            <v>D</v>
          </cell>
          <cell r="C161" t="str">
            <v>Clear</v>
          </cell>
          <cell r="D161">
            <v>6</v>
          </cell>
          <cell r="E161">
            <v>96</v>
          </cell>
          <cell r="F161">
            <v>144</v>
          </cell>
          <cell r="G161">
            <v>375</v>
          </cell>
          <cell r="H161">
            <v>45</v>
          </cell>
        </row>
        <row r="162">
          <cell r="B162" t="str">
            <v>D</v>
          </cell>
          <cell r="C162" t="str">
            <v>Clear</v>
          </cell>
          <cell r="D162">
            <v>6</v>
          </cell>
          <cell r="E162">
            <v>72</v>
          </cell>
          <cell r="F162">
            <v>120</v>
          </cell>
          <cell r="G162">
            <v>165</v>
          </cell>
          <cell r="H162">
            <v>10</v>
          </cell>
        </row>
        <row r="163">
          <cell r="B163" t="str">
            <v>D</v>
          </cell>
          <cell r="C163" t="str">
            <v>Clear</v>
          </cell>
          <cell r="D163">
            <v>6</v>
          </cell>
          <cell r="E163">
            <v>84</v>
          </cell>
          <cell r="F163">
            <v>120</v>
          </cell>
          <cell r="G163">
            <v>140</v>
          </cell>
          <cell r="H163">
            <v>5</v>
          </cell>
        </row>
        <row r="164">
          <cell r="B164" t="str">
            <v>D</v>
          </cell>
          <cell r="C164" t="str">
            <v>Clear</v>
          </cell>
          <cell r="D164">
            <v>6</v>
          </cell>
          <cell r="E164">
            <v>96</v>
          </cell>
          <cell r="F164">
            <v>120</v>
          </cell>
          <cell r="G164">
            <v>80</v>
          </cell>
          <cell r="H164">
            <v>5</v>
          </cell>
        </row>
        <row r="165">
          <cell r="B165" t="str">
            <v>M</v>
          </cell>
          <cell r="C165" t="str">
            <v>Clear</v>
          </cell>
          <cell r="D165">
            <v>6</v>
          </cell>
          <cell r="E165">
            <v>30</v>
          </cell>
          <cell r="F165">
            <v>60</v>
          </cell>
          <cell r="G165">
            <v>120</v>
          </cell>
          <cell r="H165">
            <v>10</v>
          </cell>
        </row>
        <row r="166">
          <cell r="B166" t="str">
            <v>D</v>
          </cell>
          <cell r="C166" t="str">
            <v>Clear</v>
          </cell>
          <cell r="D166">
            <v>5</v>
          </cell>
          <cell r="E166">
            <v>96</v>
          </cell>
          <cell r="F166">
            <v>72</v>
          </cell>
          <cell r="G166">
            <v>43</v>
          </cell>
          <cell r="H166">
            <v>32</v>
          </cell>
        </row>
        <row r="167">
          <cell r="B167" t="str">
            <v>D</v>
          </cell>
          <cell r="C167" t="str">
            <v>Clear</v>
          </cell>
          <cell r="D167">
            <v>5</v>
          </cell>
          <cell r="E167">
            <v>96</v>
          </cell>
          <cell r="F167">
            <v>120</v>
          </cell>
          <cell r="G167">
            <v>272</v>
          </cell>
          <cell r="H167">
            <v>7</v>
          </cell>
        </row>
        <row r="168">
          <cell r="B168" t="str">
            <v>D</v>
          </cell>
          <cell r="C168" t="str">
            <v>Clear</v>
          </cell>
          <cell r="D168">
            <v>6</v>
          </cell>
          <cell r="E168">
            <v>84</v>
          </cell>
          <cell r="F168">
            <v>120</v>
          </cell>
          <cell r="G168">
            <v>229</v>
          </cell>
          <cell r="H168">
            <v>44</v>
          </cell>
        </row>
        <row r="169">
          <cell r="B169" t="str">
            <v>D</v>
          </cell>
          <cell r="C169" t="str">
            <v>Clear</v>
          </cell>
          <cell r="D169">
            <v>6</v>
          </cell>
          <cell r="E169">
            <v>96</v>
          </cell>
          <cell r="F169">
            <v>120</v>
          </cell>
          <cell r="G169">
            <v>246</v>
          </cell>
          <cell r="H169">
            <v>16</v>
          </cell>
        </row>
        <row r="170">
          <cell r="B170" t="str">
            <v>D</v>
          </cell>
          <cell r="C170" t="str">
            <v>Clear</v>
          </cell>
          <cell r="D170">
            <v>5</v>
          </cell>
          <cell r="E170">
            <v>96</v>
          </cell>
          <cell r="F170">
            <v>72</v>
          </cell>
          <cell r="G170">
            <v>16</v>
          </cell>
          <cell r="H170">
            <v>5</v>
          </cell>
        </row>
        <row r="171">
          <cell r="B171" t="str">
            <v>D</v>
          </cell>
          <cell r="C171" t="str">
            <v>Clear</v>
          </cell>
          <cell r="D171">
            <v>5</v>
          </cell>
          <cell r="E171">
            <v>72</v>
          </cell>
          <cell r="F171">
            <v>120</v>
          </cell>
          <cell r="G171">
            <v>474</v>
          </cell>
          <cell r="H171">
            <v>90</v>
          </cell>
        </row>
        <row r="172">
          <cell r="B172" t="str">
            <v>T</v>
          </cell>
          <cell r="C172" t="str">
            <v>Bronze</v>
          </cell>
          <cell r="D172">
            <v>6</v>
          </cell>
          <cell r="E172">
            <v>84</v>
          </cell>
          <cell r="F172">
            <v>120</v>
          </cell>
          <cell r="G172">
            <v>330</v>
          </cell>
          <cell r="H172">
            <v>40</v>
          </cell>
        </row>
        <row r="173">
          <cell r="B173" t="str">
            <v>D</v>
          </cell>
          <cell r="C173" t="str">
            <v>Clear</v>
          </cell>
          <cell r="D173">
            <v>5</v>
          </cell>
          <cell r="E173">
            <v>96</v>
          </cell>
          <cell r="F173">
            <v>72</v>
          </cell>
          <cell r="G173">
            <v>26</v>
          </cell>
          <cell r="H173">
            <v>15</v>
          </cell>
        </row>
        <row r="174">
          <cell r="B174" t="str">
            <v>D</v>
          </cell>
          <cell r="C174" t="str">
            <v>Clear</v>
          </cell>
          <cell r="D174">
            <v>6</v>
          </cell>
          <cell r="E174">
            <v>96</v>
          </cell>
          <cell r="F174">
            <v>144</v>
          </cell>
          <cell r="G174">
            <v>234</v>
          </cell>
          <cell r="H174">
            <v>45</v>
          </cell>
        </row>
        <row r="175">
          <cell r="B175" t="str">
            <v>T</v>
          </cell>
          <cell r="C175" t="str">
            <v>Bronze</v>
          </cell>
          <cell r="D175">
            <v>6</v>
          </cell>
          <cell r="E175">
            <v>84</v>
          </cell>
          <cell r="F175">
            <v>120</v>
          </cell>
          <cell r="G175">
            <v>190</v>
          </cell>
          <cell r="H175">
            <v>40</v>
          </cell>
        </row>
        <row r="176">
          <cell r="B176" t="str">
            <v>D</v>
          </cell>
          <cell r="C176" t="str">
            <v>Clear</v>
          </cell>
          <cell r="D176">
            <v>3</v>
          </cell>
          <cell r="E176">
            <v>48</v>
          </cell>
          <cell r="F176">
            <v>72</v>
          </cell>
          <cell r="G176">
            <v>235</v>
          </cell>
          <cell r="H176">
            <v>20</v>
          </cell>
        </row>
        <row r="177">
          <cell r="B177" t="str">
            <v>D</v>
          </cell>
          <cell r="C177" t="str">
            <v>Clear</v>
          </cell>
          <cell r="D177">
            <v>6</v>
          </cell>
          <cell r="E177">
            <v>96</v>
          </cell>
          <cell r="F177">
            <v>144</v>
          </cell>
          <cell r="G177">
            <v>115</v>
          </cell>
          <cell r="H177">
            <v>5</v>
          </cell>
        </row>
        <row r="178">
          <cell r="B178" t="str">
            <v>T</v>
          </cell>
          <cell r="C178" t="str">
            <v>Dark</v>
          </cell>
          <cell r="D178">
            <v>6</v>
          </cell>
          <cell r="E178">
            <v>84</v>
          </cell>
          <cell r="F178">
            <v>120</v>
          </cell>
          <cell r="G178">
            <v>100</v>
          </cell>
          <cell r="H178">
            <v>10</v>
          </cell>
        </row>
        <row r="180">
          <cell r="B180" t="str">
            <v>D</v>
          </cell>
          <cell r="C180" t="str">
            <v>Clear</v>
          </cell>
          <cell r="D180">
            <v>5</v>
          </cell>
          <cell r="E180">
            <v>84</v>
          </cell>
          <cell r="F180">
            <v>60</v>
          </cell>
          <cell r="G180">
            <v>27</v>
          </cell>
          <cell r="H180">
            <v>15</v>
          </cell>
        </row>
        <row r="181">
          <cell r="B181" t="str">
            <v>D</v>
          </cell>
          <cell r="C181" t="str">
            <v>Clear</v>
          </cell>
          <cell r="D181">
            <v>5</v>
          </cell>
          <cell r="E181">
            <v>84</v>
          </cell>
          <cell r="F181">
            <v>84</v>
          </cell>
          <cell r="G181">
            <v>45</v>
          </cell>
          <cell r="H181">
            <v>20</v>
          </cell>
        </row>
        <row r="182">
          <cell r="B182" t="str">
            <v>D</v>
          </cell>
          <cell r="C182" t="str">
            <v>Clear</v>
          </cell>
          <cell r="D182">
            <v>5</v>
          </cell>
          <cell r="E182">
            <v>72</v>
          </cell>
          <cell r="F182">
            <v>120</v>
          </cell>
          <cell r="G182">
            <v>34</v>
          </cell>
          <cell r="H182">
            <v>20</v>
          </cell>
        </row>
        <row r="183">
          <cell r="B183" t="str">
            <v>D</v>
          </cell>
          <cell r="C183" t="str">
            <v>Clear</v>
          </cell>
          <cell r="D183">
            <v>5</v>
          </cell>
          <cell r="E183">
            <v>84</v>
          </cell>
          <cell r="F183">
            <v>120</v>
          </cell>
          <cell r="G183">
            <v>351</v>
          </cell>
          <cell r="H183">
            <v>20</v>
          </cell>
        </row>
        <row r="184">
          <cell r="B184" t="str">
            <v>D</v>
          </cell>
          <cell r="C184" t="str">
            <v>Clear</v>
          </cell>
          <cell r="D184">
            <v>6</v>
          </cell>
          <cell r="E184">
            <v>96</v>
          </cell>
          <cell r="F184">
            <v>120</v>
          </cell>
          <cell r="G184">
            <v>23</v>
          </cell>
          <cell r="H184">
            <v>15</v>
          </cell>
        </row>
        <row r="185">
          <cell r="B185" t="str">
            <v>D</v>
          </cell>
          <cell r="C185" t="str">
            <v>Clear</v>
          </cell>
          <cell r="D185">
            <v>5</v>
          </cell>
          <cell r="E185">
            <v>84</v>
          </cell>
          <cell r="F185">
            <v>60</v>
          </cell>
          <cell r="G185">
            <v>250</v>
          </cell>
          <cell r="H185">
            <v>35</v>
          </cell>
        </row>
        <row r="186">
          <cell r="B186" t="str">
            <v>D</v>
          </cell>
          <cell r="C186" t="str">
            <v>Clear</v>
          </cell>
          <cell r="D186">
            <v>6</v>
          </cell>
          <cell r="E186">
            <v>72</v>
          </cell>
          <cell r="F186">
            <v>120</v>
          </cell>
          <cell r="G186">
            <v>220</v>
          </cell>
          <cell r="H186">
            <v>20</v>
          </cell>
        </row>
        <row r="187">
          <cell r="B187" t="str">
            <v>D</v>
          </cell>
          <cell r="C187" t="str">
            <v>Clear</v>
          </cell>
          <cell r="D187">
            <v>5</v>
          </cell>
          <cell r="E187">
            <v>96</v>
          </cell>
          <cell r="F187">
            <v>144</v>
          </cell>
          <cell r="G187">
            <v>445</v>
          </cell>
          <cell r="H187">
            <v>245</v>
          </cell>
        </row>
        <row r="188">
          <cell r="B188" t="str">
            <v>D</v>
          </cell>
          <cell r="C188" t="str">
            <v>Clear</v>
          </cell>
          <cell r="D188">
            <v>6</v>
          </cell>
          <cell r="E188">
            <v>72</v>
          </cell>
          <cell r="F188">
            <v>120</v>
          </cell>
          <cell r="G188">
            <v>35</v>
          </cell>
          <cell r="H188">
            <v>15</v>
          </cell>
        </row>
        <row r="189">
          <cell r="B189" t="str">
            <v>D</v>
          </cell>
          <cell r="C189" t="str">
            <v>Clear</v>
          </cell>
          <cell r="D189">
            <v>5</v>
          </cell>
          <cell r="E189">
            <v>96</v>
          </cell>
          <cell r="F189">
            <v>72</v>
          </cell>
          <cell r="G189">
            <v>37</v>
          </cell>
          <cell r="H189">
            <v>15</v>
          </cell>
        </row>
        <row r="190">
          <cell r="B190" t="str">
            <v>D</v>
          </cell>
          <cell r="C190" t="str">
            <v>Clear</v>
          </cell>
          <cell r="D190">
            <v>5</v>
          </cell>
          <cell r="E190">
            <v>96</v>
          </cell>
          <cell r="F190">
            <v>144</v>
          </cell>
          <cell r="G190">
            <v>393</v>
          </cell>
          <cell r="H190">
            <v>5</v>
          </cell>
        </row>
        <row r="191">
          <cell r="B191" t="str">
            <v>T</v>
          </cell>
          <cell r="C191" t="str">
            <v>Bronze</v>
          </cell>
          <cell r="D191">
            <v>6</v>
          </cell>
          <cell r="E191">
            <v>84</v>
          </cell>
          <cell r="F191">
            <v>120</v>
          </cell>
          <cell r="G191">
            <v>50</v>
          </cell>
          <cell r="H191">
            <v>20</v>
          </cell>
        </row>
        <row r="192">
          <cell r="B192" t="str">
            <v>D</v>
          </cell>
          <cell r="C192" t="str">
            <v>Clear</v>
          </cell>
          <cell r="D192">
            <v>5</v>
          </cell>
          <cell r="E192">
            <v>96</v>
          </cell>
          <cell r="F192">
            <v>72</v>
          </cell>
          <cell r="G192">
            <v>175</v>
          </cell>
          <cell r="H192">
            <v>15</v>
          </cell>
        </row>
        <row r="193">
          <cell r="B193" t="str">
            <v>D</v>
          </cell>
          <cell r="C193" t="str">
            <v>Clear</v>
          </cell>
          <cell r="D193">
            <v>5</v>
          </cell>
          <cell r="E193">
            <v>96</v>
          </cell>
          <cell r="F193">
            <v>72</v>
          </cell>
          <cell r="G193">
            <v>70</v>
          </cell>
          <cell r="H193">
            <v>5</v>
          </cell>
        </row>
        <row r="194">
          <cell r="B194" t="str">
            <v>D</v>
          </cell>
          <cell r="C194" t="str">
            <v>Clear</v>
          </cell>
          <cell r="D194">
            <v>5</v>
          </cell>
          <cell r="E194">
            <v>96</v>
          </cell>
          <cell r="F194">
            <v>84</v>
          </cell>
          <cell r="G194">
            <v>340</v>
          </cell>
          <cell r="H194">
            <v>20</v>
          </cell>
        </row>
        <row r="195">
          <cell r="B195" t="str">
            <v>D</v>
          </cell>
          <cell r="C195" t="str">
            <v>Clear</v>
          </cell>
          <cell r="D195">
            <v>6</v>
          </cell>
          <cell r="E195">
            <v>84</v>
          </cell>
          <cell r="F195">
            <v>120</v>
          </cell>
          <cell r="G195">
            <v>65</v>
          </cell>
          <cell r="H195">
            <v>20</v>
          </cell>
        </row>
        <row r="196">
          <cell r="B196" t="str">
            <v>D</v>
          </cell>
          <cell r="C196" t="str">
            <v>Clear</v>
          </cell>
          <cell r="D196">
            <v>6</v>
          </cell>
          <cell r="E196">
            <v>84</v>
          </cell>
          <cell r="F196">
            <v>72</v>
          </cell>
          <cell r="G196">
            <v>90</v>
          </cell>
          <cell r="H196">
            <v>20</v>
          </cell>
        </row>
        <row r="197">
          <cell r="B197" t="str">
            <v>D</v>
          </cell>
          <cell r="C197" t="str">
            <v>Clear</v>
          </cell>
          <cell r="D197">
            <v>6</v>
          </cell>
          <cell r="E197">
            <v>84</v>
          </cell>
          <cell r="F197">
            <v>120</v>
          </cell>
          <cell r="G197">
            <v>350</v>
          </cell>
          <cell r="H197">
            <v>70</v>
          </cell>
        </row>
        <row r="198">
          <cell r="B198" t="str">
            <v>D</v>
          </cell>
          <cell r="C198" t="str">
            <v>Clear</v>
          </cell>
          <cell r="D198">
            <v>6</v>
          </cell>
          <cell r="E198">
            <v>84</v>
          </cell>
          <cell r="F198">
            <v>72</v>
          </cell>
          <cell r="G198">
            <v>35</v>
          </cell>
          <cell r="H198">
            <v>5</v>
          </cell>
        </row>
        <row r="199">
          <cell r="B199" t="str">
            <v>D</v>
          </cell>
          <cell r="C199" t="str">
            <v>Clear</v>
          </cell>
          <cell r="D199">
            <v>6</v>
          </cell>
          <cell r="E199">
            <v>96</v>
          </cell>
          <cell r="F199">
            <v>144</v>
          </cell>
          <cell r="G199">
            <v>165</v>
          </cell>
          <cell r="H199">
            <v>20</v>
          </cell>
        </row>
        <row r="200">
          <cell r="B200" t="str">
            <v>C</v>
          </cell>
          <cell r="C200" t="str">
            <v>Clear</v>
          </cell>
          <cell r="D200">
            <v>1.1000000000000001</v>
          </cell>
          <cell r="E200">
            <v>43</v>
          </cell>
          <cell r="F200">
            <v>49</v>
          </cell>
          <cell r="G200">
            <v>635</v>
          </cell>
          <cell r="H200">
            <v>155</v>
          </cell>
        </row>
        <row r="201">
          <cell r="B201" t="str">
            <v>D</v>
          </cell>
          <cell r="C201" t="str">
            <v>Clear</v>
          </cell>
          <cell r="D201">
            <v>5</v>
          </cell>
          <cell r="E201">
            <v>84</v>
          </cell>
          <cell r="F201">
            <v>120</v>
          </cell>
          <cell r="G201">
            <v>185</v>
          </cell>
          <cell r="H201">
            <v>5</v>
          </cell>
        </row>
        <row r="202">
          <cell r="B202" t="str">
            <v>D</v>
          </cell>
          <cell r="C202" t="str">
            <v>Clear</v>
          </cell>
          <cell r="D202">
            <v>5</v>
          </cell>
          <cell r="E202">
            <v>84</v>
          </cell>
          <cell r="F202">
            <v>120</v>
          </cell>
          <cell r="G202">
            <v>480</v>
          </cell>
          <cell r="H202">
            <v>15</v>
          </cell>
        </row>
        <row r="203">
          <cell r="B203" t="str">
            <v>D</v>
          </cell>
          <cell r="C203" t="str">
            <v>Clear</v>
          </cell>
          <cell r="D203">
            <v>5</v>
          </cell>
          <cell r="E203">
            <v>96</v>
          </cell>
          <cell r="F203">
            <v>120</v>
          </cell>
          <cell r="G203">
            <v>200</v>
          </cell>
          <cell r="H203">
            <v>5</v>
          </cell>
        </row>
        <row r="204">
          <cell r="B204" t="str">
            <v>D</v>
          </cell>
          <cell r="C204" t="str">
            <v>Clear</v>
          </cell>
          <cell r="D204">
            <v>6</v>
          </cell>
          <cell r="E204">
            <v>96</v>
          </cell>
          <cell r="F204">
            <v>84</v>
          </cell>
          <cell r="G204">
            <v>140</v>
          </cell>
          <cell r="H204">
            <v>20</v>
          </cell>
        </row>
        <row r="205">
          <cell r="B205" t="str">
            <v>D</v>
          </cell>
          <cell r="C205" t="str">
            <v>Clear</v>
          </cell>
          <cell r="D205">
            <v>6</v>
          </cell>
          <cell r="E205">
            <v>72</v>
          </cell>
          <cell r="F205">
            <v>120</v>
          </cell>
          <cell r="G205">
            <v>140</v>
          </cell>
          <cell r="H205">
            <v>30</v>
          </cell>
        </row>
        <row r="206">
          <cell r="B206" t="str">
            <v>M</v>
          </cell>
          <cell r="C206" t="str">
            <v>Clear</v>
          </cell>
          <cell r="D206">
            <v>6</v>
          </cell>
          <cell r="E206">
            <v>30</v>
          </cell>
          <cell r="F206">
            <v>60</v>
          </cell>
          <cell r="G206">
            <v>125</v>
          </cell>
          <cell r="H206">
            <v>5</v>
          </cell>
        </row>
        <row r="207">
          <cell r="B207" t="str">
            <v>M</v>
          </cell>
          <cell r="C207" t="str">
            <v>Clear</v>
          </cell>
          <cell r="D207">
            <v>6</v>
          </cell>
          <cell r="E207">
            <v>30</v>
          </cell>
          <cell r="F207">
            <v>60</v>
          </cell>
          <cell r="G207">
            <v>480</v>
          </cell>
          <cell r="H207">
            <v>10</v>
          </cell>
        </row>
        <row r="208">
          <cell r="B208" t="str">
            <v>M</v>
          </cell>
          <cell r="C208" t="str">
            <v>Clear</v>
          </cell>
          <cell r="D208">
            <v>6</v>
          </cell>
          <cell r="E208">
            <v>30</v>
          </cell>
          <cell r="F208">
            <v>60</v>
          </cell>
          <cell r="G208">
            <v>285</v>
          </cell>
          <cell r="H208">
            <v>10</v>
          </cell>
        </row>
        <row r="209">
          <cell r="B209" t="str">
            <v>D</v>
          </cell>
          <cell r="C209" t="str">
            <v>Clear</v>
          </cell>
          <cell r="D209">
            <v>6</v>
          </cell>
          <cell r="E209">
            <v>96</v>
          </cell>
          <cell r="F209">
            <v>72</v>
          </cell>
          <cell r="G209">
            <v>90</v>
          </cell>
          <cell r="H209">
            <v>30</v>
          </cell>
        </row>
        <row r="210">
          <cell r="B210" t="str">
            <v>T</v>
          </cell>
          <cell r="C210" t="str">
            <v>Dark</v>
          </cell>
          <cell r="D210">
            <v>5</v>
          </cell>
          <cell r="E210">
            <v>84</v>
          </cell>
          <cell r="F210">
            <v>120</v>
          </cell>
          <cell r="G210">
            <v>215</v>
          </cell>
          <cell r="H210">
            <v>5</v>
          </cell>
        </row>
        <row r="212">
          <cell r="B212" t="str">
            <v>D</v>
          </cell>
          <cell r="C212" t="str">
            <v>Clear</v>
          </cell>
          <cell r="D212">
            <v>5</v>
          </cell>
          <cell r="E212">
            <v>96</v>
          </cell>
          <cell r="F212">
            <v>72</v>
          </cell>
          <cell r="G212">
            <v>25</v>
          </cell>
          <cell r="H212">
            <v>0</v>
          </cell>
        </row>
        <row r="213">
          <cell r="B213" t="str">
            <v>D</v>
          </cell>
          <cell r="C213" t="str">
            <v>Clear</v>
          </cell>
          <cell r="D213">
            <v>5</v>
          </cell>
          <cell r="E213">
            <v>84</v>
          </cell>
          <cell r="F213">
            <v>60</v>
          </cell>
          <cell r="G213">
            <v>175</v>
          </cell>
          <cell r="H213">
            <v>25</v>
          </cell>
        </row>
        <row r="214">
          <cell r="B214" t="str">
            <v>D</v>
          </cell>
          <cell r="C214" t="str">
            <v>Clear</v>
          </cell>
          <cell r="D214">
            <v>5</v>
          </cell>
          <cell r="E214">
            <v>84</v>
          </cell>
          <cell r="F214">
            <v>72</v>
          </cell>
          <cell r="G214">
            <v>290</v>
          </cell>
          <cell r="H214">
            <v>10</v>
          </cell>
        </row>
        <row r="215">
          <cell r="B215" t="str">
            <v>D</v>
          </cell>
          <cell r="C215" t="str">
            <v>Clear</v>
          </cell>
          <cell r="D215">
            <v>5</v>
          </cell>
          <cell r="E215">
            <v>96</v>
          </cell>
          <cell r="F215">
            <v>72</v>
          </cell>
          <cell r="G215">
            <v>10</v>
          </cell>
          <cell r="H215">
            <v>0</v>
          </cell>
        </row>
        <row r="216">
          <cell r="B216" t="str">
            <v>D</v>
          </cell>
          <cell r="C216" t="str">
            <v>Clear</v>
          </cell>
          <cell r="D216">
            <v>5</v>
          </cell>
          <cell r="E216">
            <v>96</v>
          </cell>
          <cell r="F216">
            <v>72</v>
          </cell>
          <cell r="G216">
            <v>360</v>
          </cell>
          <cell r="H216">
            <v>10</v>
          </cell>
        </row>
        <row r="217">
          <cell r="B217" t="str">
            <v>D</v>
          </cell>
          <cell r="C217" t="str">
            <v>Clear</v>
          </cell>
          <cell r="D217">
            <v>5</v>
          </cell>
          <cell r="E217">
            <v>96</v>
          </cell>
          <cell r="F217">
            <v>84</v>
          </cell>
          <cell r="G217">
            <v>120</v>
          </cell>
          <cell r="H217">
            <v>20</v>
          </cell>
        </row>
        <row r="218">
          <cell r="B218" t="str">
            <v>D</v>
          </cell>
          <cell r="C218" t="str">
            <v>Clear</v>
          </cell>
          <cell r="D218">
            <v>5</v>
          </cell>
          <cell r="E218">
            <v>96</v>
          </cell>
          <cell r="F218">
            <v>84</v>
          </cell>
          <cell r="G218">
            <v>310</v>
          </cell>
          <cell r="H218">
            <v>15</v>
          </cell>
        </row>
        <row r="219">
          <cell r="B219" t="str">
            <v>D</v>
          </cell>
          <cell r="C219" t="str">
            <v>Clear</v>
          </cell>
          <cell r="D219">
            <v>5</v>
          </cell>
          <cell r="E219">
            <v>72</v>
          </cell>
          <cell r="F219">
            <v>120</v>
          </cell>
          <cell r="G219">
            <v>160</v>
          </cell>
          <cell r="H219">
            <v>20</v>
          </cell>
        </row>
        <row r="220">
          <cell r="B220" t="str">
            <v>D</v>
          </cell>
          <cell r="C220" t="str">
            <v>Clear</v>
          </cell>
          <cell r="D220">
            <v>3</v>
          </cell>
          <cell r="E220">
            <v>36</v>
          </cell>
          <cell r="F220">
            <v>72</v>
          </cell>
          <cell r="G220">
            <v>115</v>
          </cell>
          <cell r="H220">
            <v>5</v>
          </cell>
        </row>
        <row r="221">
          <cell r="B221" t="str">
            <v>D</v>
          </cell>
          <cell r="C221" t="str">
            <v>Clear</v>
          </cell>
          <cell r="D221">
            <v>5</v>
          </cell>
          <cell r="E221">
            <v>96</v>
          </cell>
          <cell r="F221">
            <v>72</v>
          </cell>
          <cell r="G221">
            <v>11</v>
          </cell>
          <cell r="H221">
            <v>0</v>
          </cell>
        </row>
        <row r="222">
          <cell r="B222" t="str">
            <v>D</v>
          </cell>
          <cell r="C222" t="str">
            <v>Clear</v>
          </cell>
          <cell r="D222">
            <v>5</v>
          </cell>
          <cell r="E222">
            <v>72</v>
          </cell>
          <cell r="F222">
            <v>120</v>
          </cell>
          <cell r="G222">
            <v>275</v>
          </cell>
          <cell r="H222">
            <v>165</v>
          </cell>
        </row>
        <row r="223">
          <cell r="B223" t="str">
            <v>T</v>
          </cell>
          <cell r="C223" t="str">
            <v>Bronze</v>
          </cell>
          <cell r="D223">
            <v>5</v>
          </cell>
          <cell r="E223">
            <v>84</v>
          </cell>
          <cell r="F223">
            <v>120</v>
          </cell>
          <cell r="G223">
            <v>185</v>
          </cell>
          <cell r="H223">
            <v>85</v>
          </cell>
        </row>
        <row r="224">
          <cell r="B224" t="str">
            <v>D</v>
          </cell>
          <cell r="C224" t="str">
            <v>Clear</v>
          </cell>
          <cell r="D224">
            <v>4</v>
          </cell>
          <cell r="E224">
            <v>96</v>
          </cell>
          <cell r="F224">
            <v>72</v>
          </cell>
          <cell r="G224">
            <v>105</v>
          </cell>
          <cell r="H224">
            <v>20</v>
          </cell>
        </row>
        <row r="225">
          <cell r="B225" t="str">
            <v>D</v>
          </cell>
          <cell r="C225" t="str">
            <v>Clear</v>
          </cell>
          <cell r="D225">
            <v>5</v>
          </cell>
          <cell r="E225">
            <v>72</v>
          </cell>
          <cell r="F225">
            <v>120</v>
          </cell>
          <cell r="G225">
            <v>65</v>
          </cell>
          <cell r="H225">
            <v>5</v>
          </cell>
        </row>
        <row r="226">
          <cell r="B226" t="str">
            <v>D</v>
          </cell>
          <cell r="C226" t="str">
            <v>Clear</v>
          </cell>
          <cell r="D226">
            <v>6</v>
          </cell>
          <cell r="E226">
            <v>84</v>
          </cell>
          <cell r="F226">
            <v>72</v>
          </cell>
          <cell r="G226">
            <v>155</v>
          </cell>
          <cell r="H226">
            <v>20</v>
          </cell>
        </row>
        <row r="227">
          <cell r="B227" t="str">
            <v>D</v>
          </cell>
          <cell r="C227" t="str">
            <v>Clear</v>
          </cell>
          <cell r="D227">
            <v>6</v>
          </cell>
          <cell r="E227">
            <v>96</v>
          </cell>
          <cell r="F227">
            <v>120</v>
          </cell>
          <cell r="G227">
            <v>120</v>
          </cell>
          <cell r="H227">
            <v>20</v>
          </cell>
        </row>
        <row r="228">
          <cell r="B228" t="str">
            <v>D</v>
          </cell>
          <cell r="C228" t="str">
            <v>Clear</v>
          </cell>
          <cell r="D228">
            <v>5</v>
          </cell>
          <cell r="E228">
            <v>96</v>
          </cell>
          <cell r="F228">
            <v>144</v>
          </cell>
          <cell r="G228">
            <v>260</v>
          </cell>
          <cell r="H228">
            <v>15</v>
          </cell>
        </row>
        <row r="229">
          <cell r="B229" t="str">
            <v>D</v>
          </cell>
          <cell r="C229" t="str">
            <v>Clear</v>
          </cell>
          <cell r="D229">
            <v>6</v>
          </cell>
          <cell r="E229">
            <v>96</v>
          </cell>
          <cell r="F229">
            <v>84</v>
          </cell>
          <cell r="G229">
            <v>140</v>
          </cell>
          <cell r="H229">
            <v>10</v>
          </cell>
        </row>
        <row r="230">
          <cell r="B230" t="str">
            <v>D</v>
          </cell>
          <cell r="C230" t="str">
            <v>Clear</v>
          </cell>
          <cell r="D230">
            <v>6</v>
          </cell>
          <cell r="E230">
            <v>96</v>
          </cell>
          <cell r="F230">
            <v>120</v>
          </cell>
          <cell r="G230">
            <v>35</v>
          </cell>
          <cell r="H230">
            <v>5</v>
          </cell>
        </row>
        <row r="231">
          <cell r="B231" t="str">
            <v>D</v>
          </cell>
          <cell r="C231" t="str">
            <v>Clear</v>
          </cell>
          <cell r="D231">
            <v>5</v>
          </cell>
          <cell r="E231">
            <v>96</v>
          </cell>
          <cell r="F231">
            <v>144</v>
          </cell>
          <cell r="G231">
            <v>440</v>
          </cell>
          <cell r="H231">
            <v>10</v>
          </cell>
        </row>
        <row r="232">
          <cell r="B232" t="str">
            <v>D</v>
          </cell>
          <cell r="C232" t="str">
            <v>Clear</v>
          </cell>
          <cell r="D232">
            <v>6</v>
          </cell>
          <cell r="E232">
            <v>96</v>
          </cell>
          <cell r="F232">
            <v>144</v>
          </cell>
          <cell r="G232">
            <v>40</v>
          </cell>
          <cell r="H232">
            <v>5</v>
          </cell>
        </row>
        <row r="233">
          <cell r="B233" t="str">
            <v>D</v>
          </cell>
          <cell r="C233" t="str">
            <v>Clear</v>
          </cell>
          <cell r="D233">
            <v>5</v>
          </cell>
          <cell r="E233">
            <v>96</v>
          </cell>
          <cell r="F233">
            <v>144</v>
          </cell>
          <cell r="G233">
            <v>65</v>
          </cell>
          <cell r="H233">
            <v>5</v>
          </cell>
        </row>
        <row r="234">
          <cell r="B234" t="str">
            <v>D</v>
          </cell>
          <cell r="C234" t="str">
            <v>Clear</v>
          </cell>
          <cell r="D234">
            <v>6</v>
          </cell>
          <cell r="E234">
            <v>96</v>
          </cell>
          <cell r="F234">
            <v>144</v>
          </cell>
          <cell r="G234">
            <v>110</v>
          </cell>
          <cell r="H234">
            <v>20</v>
          </cell>
        </row>
        <row r="235">
          <cell r="B235" t="str">
            <v>D</v>
          </cell>
          <cell r="C235" t="str">
            <v>Clear</v>
          </cell>
          <cell r="D235">
            <v>5</v>
          </cell>
          <cell r="E235">
            <v>96</v>
          </cell>
          <cell r="F235">
            <v>120</v>
          </cell>
          <cell r="G235">
            <v>105</v>
          </cell>
          <cell r="H235">
            <v>10</v>
          </cell>
        </row>
        <row r="236">
          <cell r="B236" t="str">
            <v>D</v>
          </cell>
          <cell r="C236" t="str">
            <v>Clear</v>
          </cell>
          <cell r="D236">
            <v>6</v>
          </cell>
          <cell r="E236">
            <v>72</v>
          </cell>
          <cell r="F236">
            <v>120</v>
          </cell>
          <cell r="G236">
            <v>65</v>
          </cell>
          <cell r="H236">
            <v>10</v>
          </cell>
        </row>
        <row r="237">
          <cell r="B237" t="str">
            <v>D</v>
          </cell>
          <cell r="C237" t="str">
            <v>Clear</v>
          </cell>
          <cell r="D237">
            <v>6</v>
          </cell>
          <cell r="E237">
            <v>84</v>
          </cell>
          <cell r="F237">
            <v>120</v>
          </cell>
          <cell r="G237">
            <v>85</v>
          </cell>
          <cell r="H237">
            <v>5</v>
          </cell>
        </row>
        <row r="238">
          <cell r="B238" t="str">
            <v>D</v>
          </cell>
          <cell r="C238" t="str">
            <v>Clear</v>
          </cell>
          <cell r="D238">
            <v>6</v>
          </cell>
          <cell r="E238">
            <v>96</v>
          </cell>
          <cell r="F238">
            <v>144</v>
          </cell>
          <cell r="G238">
            <v>175</v>
          </cell>
          <cell r="H238">
            <v>5</v>
          </cell>
        </row>
        <row r="239">
          <cell r="B239" t="str">
            <v>T</v>
          </cell>
          <cell r="C239" t="str">
            <v>Dark</v>
          </cell>
          <cell r="D239">
            <v>5</v>
          </cell>
          <cell r="E239">
            <v>84</v>
          </cell>
          <cell r="F239">
            <v>120</v>
          </cell>
          <cell r="G239">
            <v>50</v>
          </cell>
          <cell r="H239">
            <v>5</v>
          </cell>
        </row>
        <row r="240">
          <cell r="B240" t="str">
            <v>T</v>
          </cell>
          <cell r="C240" t="str">
            <v>Dark</v>
          </cell>
          <cell r="D240">
            <v>5</v>
          </cell>
          <cell r="E240">
            <v>84</v>
          </cell>
          <cell r="F240">
            <v>120</v>
          </cell>
          <cell r="G240">
            <v>185</v>
          </cell>
          <cell r="H240">
            <v>5</v>
          </cell>
        </row>
      </sheetData>
      <sheetData sheetId="1"/>
      <sheetData sheetId="2">
        <row r="35">
          <cell r="E35" t="str">
            <v>84 x 120</v>
          </cell>
          <cell r="H35">
            <v>12265</v>
          </cell>
        </row>
        <row r="36">
          <cell r="E36" t="str">
            <v>96 x 144</v>
          </cell>
          <cell r="H36">
            <v>5327</v>
          </cell>
        </row>
        <row r="37">
          <cell r="E37" t="str">
            <v>96 x 84</v>
          </cell>
          <cell r="H37">
            <v>3870</v>
          </cell>
        </row>
        <row r="38">
          <cell r="E38" t="str">
            <v>72 x 120</v>
          </cell>
          <cell r="H38">
            <v>3673</v>
          </cell>
        </row>
        <row r="39">
          <cell r="E39" t="str">
            <v>96 x 72</v>
          </cell>
          <cell r="H39">
            <v>3668</v>
          </cell>
        </row>
        <row r="40">
          <cell r="E40" t="str">
            <v>96 x 120</v>
          </cell>
          <cell r="H40">
            <v>2816</v>
          </cell>
        </row>
        <row r="41">
          <cell r="E41" t="str">
            <v>84 x 72</v>
          </cell>
          <cell r="H41">
            <v>1960</v>
          </cell>
        </row>
        <row r="42">
          <cell r="E42" t="str">
            <v>30 x 60</v>
          </cell>
          <cell r="H42">
            <v>1925</v>
          </cell>
        </row>
        <row r="43">
          <cell r="E43" t="str">
            <v>43 x 49</v>
          </cell>
          <cell r="H43">
            <v>1540</v>
          </cell>
        </row>
        <row r="44">
          <cell r="E44" t="str">
            <v>84 x 126</v>
          </cell>
          <cell r="H44">
            <v>1350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16FC-7CCC-4FE5-A7FE-D90466BCD3A4}">
  <dimension ref="A1:Z129"/>
  <sheetViews>
    <sheetView tabSelected="1" workbookViewId="0">
      <pane ySplit="2" topLeftCell="A46" activePane="bottomLeft" state="frozen"/>
      <selection pane="bottomLeft" activeCell="F47" sqref="D47:F48"/>
    </sheetView>
  </sheetViews>
  <sheetFormatPr defaultRowHeight="14.4" x14ac:dyDescent="0.3"/>
  <cols>
    <col min="1" max="1" width="7.44140625" style="84" customWidth="1"/>
    <col min="2" max="4" width="8.33203125" style="84" customWidth="1"/>
    <col min="5" max="5" width="20.33203125" style="84" customWidth="1"/>
    <col min="6" max="12" width="13.33203125" style="84" customWidth="1"/>
    <col min="13" max="13" width="2.77734375" style="84" customWidth="1"/>
    <col min="14" max="14" width="96.33203125" style="84" customWidth="1"/>
    <col min="15" max="26" width="8.88671875" style="84"/>
  </cols>
  <sheetData>
    <row r="1" spans="1:14" ht="18" x14ac:dyDescent="0.35">
      <c r="A1" s="83" t="s">
        <v>50</v>
      </c>
    </row>
    <row r="2" spans="1:14" x14ac:dyDescent="0.3">
      <c r="A2" s="85" t="s">
        <v>51</v>
      </c>
    </row>
    <row r="4" spans="1:14" x14ac:dyDescent="0.3">
      <c r="A4" s="86" t="s">
        <v>52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N4" s="86" t="s">
        <v>53</v>
      </c>
    </row>
    <row r="5" spans="1:14" x14ac:dyDescent="0.3">
      <c r="B5" s="84" t="s">
        <v>54</v>
      </c>
      <c r="F5" s="87">
        <f>COUNT([1]Sheet1!$G$3:$G$240)</f>
        <v>230</v>
      </c>
      <c r="N5" s="84" t="s">
        <v>55</v>
      </c>
    </row>
    <row r="6" spans="1:14" x14ac:dyDescent="0.3">
      <c r="B6" s="84" t="s">
        <v>56</v>
      </c>
      <c r="F6" s="87">
        <f>SUM([1]Sheet1!$G$3:$G$240)</f>
        <v>45911</v>
      </c>
      <c r="N6" s="84" t="s">
        <v>57</v>
      </c>
    </row>
    <row r="7" spans="1:14" x14ac:dyDescent="0.3">
      <c r="B7" s="84" t="s">
        <v>58</v>
      </c>
      <c r="F7" s="87">
        <f>SUM([1]Sheet1!$H$3:$H$240)</f>
        <v>6794</v>
      </c>
      <c r="N7" s="84" t="s">
        <v>59</v>
      </c>
    </row>
    <row r="8" spans="1:14" x14ac:dyDescent="0.3">
      <c r="B8" s="84" t="s">
        <v>60</v>
      </c>
      <c r="F8" s="88">
        <f>IF(F6=0,0,F7/F6)</f>
        <v>0.14798196510640152</v>
      </c>
      <c r="N8" s="84" t="s">
        <v>61</v>
      </c>
    </row>
    <row r="9" spans="1:14" x14ac:dyDescent="0.3">
      <c r="N9" s="84" t="s">
        <v>62</v>
      </c>
    </row>
    <row r="10" spans="1:14" x14ac:dyDescent="0.3">
      <c r="A10" s="86" t="s">
        <v>63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N10" s="84" t="s">
        <v>64</v>
      </c>
    </row>
    <row r="11" spans="1:14" ht="28.05" customHeight="1" x14ac:dyDescent="0.3">
      <c r="B11" s="89" t="s">
        <v>65</v>
      </c>
      <c r="C11" s="89"/>
      <c r="D11" s="89"/>
      <c r="E11" s="89" t="s">
        <v>66</v>
      </c>
      <c r="F11" s="89" t="s">
        <v>67</v>
      </c>
      <c r="G11" s="89"/>
      <c r="H11" s="89" t="s">
        <v>68</v>
      </c>
      <c r="I11" s="89" t="s">
        <v>69</v>
      </c>
      <c r="J11" s="89"/>
      <c r="K11" s="89" t="s">
        <v>70</v>
      </c>
      <c r="N11" s="90" t="s">
        <v>71</v>
      </c>
    </row>
    <row r="12" spans="1:14" x14ac:dyDescent="0.3">
      <c r="B12" s="91" t="s">
        <v>72</v>
      </c>
      <c r="C12" s="91"/>
      <c r="D12" s="91"/>
      <c r="E12" s="92" t="str" cm="1">
        <f t="array" ref="E12">_xlfn.TEXTJOIN(", ",TRUE,_xlfn._xlws.FILTER($E$25:$E$30,$H$25:$H$30=MAX($H$25:$H$30)))</f>
        <v>5 mm</v>
      </c>
      <c r="F12" s="93">
        <f>INDEX($F$25:$F$30,MATCH(MAX($H$25:$H$30),$H$25:$H$30,0))</f>
        <v>116</v>
      </c>
      <c r="G12" s="91"/>
      <c r="H12" s="93">
        <f>INDEX($H$25:$H$30,MATCH(MAX($H$25:$H$30),$H$25:$H$30,0))</f>
        <v>25634</v>
      </c>
      <c r="I12" s="94">
        <f>INDEX($I$25:$I$30,MATCH(MAX($H$25:$H$30),$H$25:$H$30,0))</f>
        <v>0.55834113828929888</v>
      </c>
      <c r="J12" s="91"/>
      <c r="K12" s="94">
        <f>INDEX($K$25:$K$30,MATCH(MAX($H$25:$H$30),$H$25:$H$30,0))</f>
        <v>0.14683623312787702</v>
      </c>
      <c r="N12" s="90" t="s">
        <v>73</v>
      </c>
    </row>
    <row r="13" spans="1:14" x14ac:dyDescent="0.3">
      <c r="B13" s="95" t="s">
        <v>74</v>
      </c>
      <c r="C13" s="95"/>
      <c r="D13" s="95"/>
      <c r="E13" s="96" t="str" cm="1">
        <f t="array" ref="E13">_xlfn.TEXTJOIN(", ",TRUE,_xlfn._xlws.FILTER($E$25:$E$30,$H$25:$H$30=MIN($H$25:$H$30)))</f>
        <v>4 mm</v>
      </c>
      <c r="F13" s="97">
        <f>INDEX($F$25:$F$30,MATCH(MIN($H$25:$H$30),$H$25:$H$30,0))</f>
        <v>1</v>
      </c>
      <c r="G13" s="95"/>
      <c r="H13" s="97">
        <f>INDEX($H$25:$H$30,MATCH(MIN($H$25:$H$30),$H$25:$H$30,0))</f>
        <v>105</v>
      </c>
      <c r="I13" s="98">
        <f>INDEX($I$25:$I$30,MATCH(MIN($H$25:$H$30),$H$25:$H$30,0))</f>
        <v>2.2870336085034086E-3</v>
      </c>
      <c r="J13" s="95"/>
      <c r="K13" s="98">
        <f>INDEX($K$25:$K$30,MATCH(MIN($H$25:$H$30),$H$25:$H$30,0))</f>
        <v>0.19047619047619047</v>
      </c>
      <c r="N13" s="84" t="s">
        <v>75</v>
      </c>
    </row>
    <row r="14" spans="1:14" x14ac:dyDescent="0.3">
      <c r="B14" s="95" t="s">
        <v>76</v>
      </c>
      <c r="C14" s="95"/>
      <c r="D14" s="95"/>
      <c r="E14" s="96" t="str" cm="1">
        <f t="array" ref="E14">_xlfn.TEXTJOIN(", ",TRUE,_xlfn._xlws.FILTER($E$35:$E$65,$H$35:$H$65=MAX($H$35:$H$65)))</f>
        <v>84 x 120</v>
      </c>
      <c r="F14" s="97">
        <f>INDEX($F$35:$F$65,MATCH(MAX($H$35:$H$65),$H$35:$H$65,0))</f>
        <v>49</v>
      </c>
      <c r="G14" s="95"/>
      <c r="H14" s="97">
        <f>INDEX($H$35:$H$65,MATCH(MAX($H$35:$H$65),$H$35:$H$65,0))</f>
        <v>12265</v>
      </c>
      <c r="I14" s="98">
        <f>INDEX($I$35:$I$65,MATCH(MAX($H$35:$H$65),$H$35:$H$65,0))</f>
        <v>0.26714730674566006</v>
      </c>
      <c r="J14" s="95"/>
      <c r="K14" s="98">
        <f>INDEX($K$35:$K$65,MATCH(MAX($H$35:$H$65),$H$35:$H$65,0))</f>
        <v>0.10835711373827965</v>
      </c>
      <c r="N14" s="85" t="s">
        <v>77</v>
      </c>
    </row>
    <row r="15" spans="1:14" x14ac:dyDescent="0.3">
      <c r="B15" s="95" t="s">
        <v>78</v>
      </c>
      <c r="C15" s="95"/>
      <c r="D15" s="95"/>
      <c r="E15" s="96" t="str" cm="1">
        <f t="array" ref="E15">_xlfn.TEXTJOIN(", ",TRUE,_xlfn._xlws.FILTER($E$35:$E$65,$H$35:$H$65=MIN($H$35:$H$65)))</f>
        <v>30 x 40, 48 x 32</v>
      </c>
      <c r="F15" s="97">
        <f>INDEX($F$35:$F$65,MATCH(MIN($H$35:$H$65),$H$35:$H$65,0))</f>
        <v>1</v>
      </c>
      <c r="G15" s="95"/>
      <c r="H15" s="97">
        <f>INDEX($H$35:$H$65,MATCH(MIN($H$35:$H$65),$H$35:$H$65,0))</f>
        <v>40</v>
      </c>
      <c r="I15" s="98">
        <f>INDEX($I$35:$I$65,MATCH(MIN($H$35:$H$65),$H$35:$H$65,0))</f>
        <v>8.7125089847748909E-4</v>
      </c>
      <c r="J15" s="95"/>
      <c r="K15" s="98">
        <f>INDEX($K$35:$K$65,MATCH(MIN($H$35:$H$65),$H$35:$H$65,0))</f>
        <v>0.375</v>
      </c>
      <c r="N15" s="85" t="s">
        <v>79</v>
      </c>
    </row>
    <row r="16" spans="1:14" x14ac:dyDescent="0.3">
      <c r="B16" s="95" t="s">
        <v>80</v>
      </c>
      <c r="C16" s="95"/>
      <c r="D16" s="95"/>
      <c r="E16" s="96" t="str" cm="1">
        <f t="array" ref="E16">_xlfn.TEXTJOIN(", ",TRUE,_xlfn._xlws.FILTER($E$70:$E$111,$H$70:$H$111=MAX($H$70:$H$111)))</f>
        <v>5mm  84 x 120</v>
      </c>
      <c r="F16" s="97">
        <f>INDEX($F$70:$F$111,MATCH(MAX($H$70:$H$111),$H$70:$H$111,0))</f>
        <v>29</v>
      </c>
      <c r="G16" s="95"/>
      <c r="H16" s="97">
        <f>INDEX($H$70:$H$111,MATCH(MAX($H$70:$H$111),$H$70:$H$111,0))</f>
        <v>8666</v>
      </c>
      <c r="I16" s="98">
        <f>INDEX($I$70:$I$111,MATCH(MAX($H$70:$H$111),$H$70:$H$111,0))</f>
        <v>0.188756507155148</v>
      </c>
      <c r="J16" s="95"/>
      <c r="K16" s="98">
        <f>INDEX($K$70:$K$111,MATCH(MAX($H$70:$H$111),$H$70:$H$111,0))</f>
        <v>8.7122086314331867E-2</v>
      </c>
    </row>
    <row r="17" spans="1:12" x14ac:dyDescent="0.3">
      <c r="B17" s="95" t="s">
        <v>81</v>
      </c>
      <c r="C17" s="95"/>
      <c r="D17" s="95"/>
      <c r="E17" s="96" t="str" cm="1">
        <f t="array" ref="E17">_xlfn.TEXTJOIN(", ",TRUE,_xlfn._xlws.FILTER($E$70:$E$111,$H$70:$H$111=MIN($H$70:$H$111)))</f>
        <v>5mm  60 x 120</v>
      </c>
      <c r="F17" s="97">
        <f>INDEX($F$70:$F$111,MATCH(MIN($H$70:$H$111),$H$70:$H$111,0))</f>
        <v>1</v>
      </c>
      <c r="G17" s="95"/>
      <c r="H17" s="97">
        <f>INDEX($H$70:$H$111,MATCH(MIN($H$70:$H$111),$H$70:$H$111,0))</f>
        <v>30</v>
      </c>
      <c r="I17" s="98">
        <f>INDEX($I$70:$I$111,MATCH(MIN($H$70:$H$111),$H$70:$H$111,0))</f>
        <v>6.5343817385811681E-4</v>
      </c>
      <c r="J17" s="95"/>
      <c r="K17" s="98">
        <f>INDEX($K$70:$K$111,MATCH(MIN($H$70:$H$111),$H$70:$H$111,0))</f>
        <v>0.5</v>
      </c>
    </row>
    <row r="18" spans="1:12" x14ac:dyDescent="0.3">
      <c r="B18" s="95" t="s">
        <v>82</v>
      </c>
      <c r="C18" s="95"/>
      <c r="D18" s="95"/>
      <c r="E18" s="96" t="str" cm="1">
        <f t="array" ref="E18">_xlfn.TEXTJOIN(", ",TRUE,_xlfn._xlws.FILTER($E$35:$E$65,($K$35:$K$65=_xlfn.MAXIFS($K$35:$K$65,$F$35:$F$65,"&gt;="&amp;$F$20))*($F$35:$F$65&gt;=$F$20)))</f>
        <v>96 x 144</v>
      </c>
      <c r="F18" s="97" cm="1">
        <f t="array" ref="F18">INDEX($F$35:$F$65,MATCH(1,($K$35:$K$65=_xlfn.MAXIFS($K$35:$K$65,$F$35:$F$65,"&gt;="&amp;$F$20))*($F$35:$F$65&gt;=$F$20),0))</f>
        <v>25</v>
      </c>
      <c r="G18" s="95"/>
      <c r="H18" s="97" cm="1">
        <f t="array" ref="H18">INDEX($H$35:$H$65,MATCH(1,($K$35:$K$65=_xlfn.MAXIFS($K$35:$K$65,$F$35:$F$65,"&gt;="&amp;$F$20))*($F$35:$F$65&gt;=$F$20),0))</f>
        <v>5327</v>
      </c>
      <c r="I18" s="98" cm="1">
        <f t="array" ref="I18">INDEX($I$35:$I$65,MATCH(1,($K$35:$K$65=_xlfn.MAXIFS($K$35:$K$65,$F$35:$F$65,"&gt;="&amp;$F$20))*($F$35:$F$65&gt;=$F$20),0))</f>
        <v>0.1160288384047396</v>
      </c>
      <c r="J18" s="95"/>
      <c r="K18" s="98">
        <f>_xlfn.MAXIFS($K$35:$K$65,$F$35:$F$65,"&gt;="&amp;$F$20)</f>
        <v>0.23746949502534259</v>
      </c>
    </row>
    <row r="19" spans="1:12" x14ac:dyDescent="0.3">
      <c r="B19" s="99" t="s">
        <v>83</v>
      </c>
      <c r="C19" s="99"/>
      <c r="D19" s="99"/>
      <c r="E19" s="100" t="str" cm="1">
        <f t="array" ref="E19">_xlfn.TEXTJOIN(", ",TRUE,_xlfn._xlws.FILTER($E$35:$E$65,($K$35:$K$65=_xlfn.MINIFS($K$35:$K$65,$F$35:$F$65,"&gt;="&amp;$F$20))*($F$35:$F$65&gt;=$F$20)))</f>
        <v>30 x 60</v>
      </c>
      <c r="F19" s="101" cm="1">
        <f t="array" ref="F19">INDEX($F$35:$F$65,MATCH(1,($K$35:$K$65=_xlfn.MINIFS($K$35:$K$65,$F$35:$F$65,"&gt;="&amp;$F$20))*($F$35:$F$65&gt;=$F$20),0))</f>
        <v>7</v>
      </c>
      <c r="G19" s="99"/>
      <c r="H19" s="101" cm="1">
        <f t="array" ref="H19">INDEX($H$35:$H$65,MATCH(1,($K$35:$K$65=_xlfn.MINIFS($K$35:$K$65,$F$35:$F$65,"&gt;="&amp;$F$20))*($F$35:$F$65&gt;=$F$20),0))</f>
        <v>1925</v>
      </c>
      <c r="I19" s="102" cm="1">
        <f t="array" ref="I19">INDEX($I$35:$I$65,MATCH(1,($K$35:$K$65=_xlfn.MINIFS($K$35:$K$65,$F$35:$F$65,"&gt;="&amp;$F$20))*($F$35:$F$65&gt;=$F$20),0))</f>
        <v>4.1928949489229164E-2</v>
      </c>
      <c r="J19" s="99"/>
      <c r="K19" s="102">
        <f>_xlfn.MINIFS($K$35:$K$65,$F$35:$F$65,"&gt;="&amp;$F$20)</f>
        <v>6.2337662337662338E-2</v>
      </c>
    </row>
    <row r="20" spans="1:12" x14ac:dyDescent="0.3">
      <c r="B20" s="103" t="s">
        <v>84</v>
      </c>
      <c r="F20" s="104">
        <v>5</v>
      </c>
    </row>
    <row r="23" spans="1:12" x14ac:dyDescent="0.3">
      <c r="A23" s="86" t="s">
        <v>85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</row>
    <row r="24" spans="1:12" ht="28.05" customHeight="1" x14ac:dyDescent="0.3">
      <c r="A24" s="89" t="s">
        <v>86</v>
      </c>
      <c r="B24" s="89" t="s">
        <v>87</v>
      </c>
      <c r="C24" s="89" t="s">
        <v>88</v>
      </c>
      <c r="D24" s="89" t="s">
        <v>89</v>
      </c>
      <c r="E24" s="89" t="s">
        <v>90</v>
      </c>
      <c r="F24" s="89" t="s">
        <v>67</v>
      </c>
      <c r="G24" s="89" t="s">
        <v>91</v>
      </c>
      <c r="H24" s="89" t="s">
        <v>68</v>
      </c>
      <c r="I24" s="89" t="s">
        <v>69</v>
      </c>
      <c r="J24" s="89" t="s">
        <v>92</v>
      </c>
      <c r="K24" s="89" t="s">
        <v>70</v>
      </c>
      <c r="L24" s="89" t="s">
        <v>93</v>
      </c>
    </row>
    <row r="25" spans="1:12" x14ac:dyDescent="0.3">
      <c r="A25" s="105">
        <f>_xlfn.RANK.EQ(H25,$H$25:$H$30)</f>
        <v>1</v>
      </c>
      <c r="B25" s="105">
        <v>5</v>
      </c>
      <c r="C25" s="105"/>
      <c r="D25" s="105"/>
      <c r="E25" s="84" t="str">
        <f>B25&amp;" mm"</f>
        <v>5 mm</v>
      </c>
      <c r="F25" s="106">
        <f>COUNTIFS([1]Sheet1!$D$3:$D$240,$B25)</f>
        <v>116</v>
      </c>
      <c r="G25" s="107">
        <f>IF($F$5=0,0,F25/$F$5)</f>
        <v>0.5043478260869565</v>
      </c>
      <c r="H25" s="106">
        <f>SUMIFS([1]Sheet1!$G$3:$G$240,[1]Sheet1!$D$3:$D$240,$B25)</f>
        <v>25634</v>
      </c>
      <c r="I25" s="107">
        <f>IF($F$6=0,0,H25/$F$6)</f>
        <v>0.55834113828929888</v>
      </c>
      <c r="J25" s="106">
        <f>SUMIFS([1]Sheet1!$H$3:$H$240,[1]Sheet1!$D$3:$D$240,$B25)</f>
        <v>3764</v>
      </c>
      <c r="K25" s="107">
        <f>IF(H25=0,0,J25/H25)</f>
        <v>0.14683623312787702</v>
      </c>
      <c r="L25" s="106">
        <f>IF(F25=0,0,H25/F25)</f>
        <v>220.98275862068965</v>
      </c>
    </row>
    <row r="26" spans="1:12" x14ac:dyDescent="0.3">
      <c r="A26" s="105">
        <f>_xlfn.RANK.EQ(H26,$H$25:$H$30)</f>
        <v>2</v>
      </c>
      <c r="B26" s="105">
        <v>6</v>
      </c>
      <c r="C26" s="105"/>
      <c r="D26" s="105"/>
      <c r="E26" s="84" t="str">
        <f>B26&amp;" mm"</f>
        <v>6 mm</v>
      </c>
      <c r="F26" s="106">
        <f>COUNTIFS([1]Sheet1!$D$3:$D$240,$B26)</f>
        <v>88</v>
      </c>
      <c r="G26" s="107">
        <f>IF($F$5=0,0,F26/$F$5)</f>
        <v>0.38260869565217392</v>
      </c>
      <c r="H26" s="106">
        <f>SUMIFS([1]Sheet1!$G$3:$G$240,[1]Sheet1!$D$3:$D$240,$B26)</f>
        <v>14587</v>
      </c>
      <c r="I26" s="107">
        <f>IF($F$6=0,0,H26/$F$6)</f>
        <v>0.31772342140227833</v>
      </c>
      <c r="J26" s="106">
        <f>SUMIFS([1]Sheet1!$H$3:$H$240,[1]Sheet1!$D$3:$D$240,$B26)</f>
        <v>2265</v>
      </c>
      <c r="K26" s="107">
        <f>IF(H26=0,0,J26/H26)</f>
        <v>0.15527524508123672</v>
      </c>
      <c r="L26" s="106">
        <f>IF(F26=0,0,H26/F26)</f>
        <v>165.76136363636363</v>
      </c>
    </row>
    <row r="27" spans="1:12" x14ac:dyDescent="0.3">
      <c r="A27" s="105">
        <f>_xlfn.RANK.EQ(H27,$H$25:$H$30)</f>
        <v>3</v>
      </c>
      <c r="B27" s="105">
        <v>1.1000000000000001</v>
      </c>
      <c r="C27" s="105"/>
      <c r="D27" s="105"/>
      <c r="E27" s="84" t="str">
        <f>B27&amp;" mm"</f>
        <v>1.1 mm</v>
      </c>
      <c r="F27" s="106">
        <f>COUNTIFS([1]Sheet1!$D$3:$D$240,$B27)</f>
        <v>5</v>
      </c>
      <c r="G27" s="107">
        <f>IF($F$5=0,0,F27/$F$5)</f>
        <v>2.1739130434782608E-2</v>
      </c>
      <c r="H27" s="106">
        <f>SUMIFS([1]Sheet1!$G$3:$G$240,[1]Sheet1!$D$3:$D$240,$B27)</f>
        <v>2275</v>
      </c>
      <c r="I27" s="107">
        <f>IF($F$6=0,0,H27/$F$6)</f>
        <v>4.9552394850907192E-2</v>
      </c>
      <c r="J27" s="106">
        <f>SUMIFS([1]Sheet1!$H$3:$H$240,[1]Sheet1!$D$3:$D$240,$B27)</f>
        <v>320</v>
      </c>
      <c r="K27" s="107">
        <f>IF(H27=0,0,J27/H27)</f>
        <v>0.14065934065934066</v>
      </c>
      <c r="L27" s="106">
        <f>IF(F27=0,0,H27/F27)</f>
        <v>455</v>
      </c>
    </row>
    <row r="28" spans="1:12" x14ac:dyDescent="0.3">
      <c r="A28" s="105">
        <f>_xlfn.RANK.EQ(H28,$H$25:$H$30)</f>
        <v>4</v>
      </c>
      <c r="B28" s="105">
        <v>3</v>
      </c>
      <c r="C28" s="105"/>
      <c r="D28" s="105"/>
      <c r="E28" s="84" t="str">
        <f>B28&amp;" mm"</f>
        <v>3 mm</v>
      </c>
      <c r="F28" s="106">
        <f>COUNTIFS([1]Sheet1!$D$3:$D$240,$B28)</f>
        <v>12</v>
      </c>
      <c r="G28" s="107">
        <f>IF($F$5=0,0,F28/$F$5)</f>
        <v>5.2173913043478258E-2</v>
      </c>
      <c r="H28" s="106">
        <f>SUMIFS([1]Sheet1!$G$3:$G$240,[1]Sheet1!$D$3:$D$240,$B28)</f>
        <v>2185</v>
      </c>
      <c r="I28" s="107">
        <f>IF($F$6=0,0,H28/$F$6)</f>
        <v>4.7592080329332841E-2</v>
      </c>
      <c r="J28" s="106">
        <f>SUMIFS([1]Sheet1!$H$3:$H$240,[1]Sheet1!$D$3:$D$240,$B28)</f>
        <v>230</v>
      </c>
      <c r="K28" s="107">
        <f>IF(H28=0,0,J28/H28)</f>
        <v>0.10526315789473684</v>
      </c>
      <c r="L28" s="106">
        <f>IF(F28=0,0,H28/F28)</f>
        <v>182.08333333333334</v>
      </c>
    </row>
    <row r="29" spans="1:12" x14ac:dyDescent="0.3">
      <c r="A29" s="105">
        <f>_xlfn.RANK.EQ(H29,$H$25:$H$30)</f>
        <v>5</v>
      </c>
      <c r="B29" s="105">
        <v>2</v>
      </c>
      <c r="C29" s="105"/>
      <c r="D29" s="105"/>
      <c r="E29" s="84" t="str">
        <f>B29&amp;" mm"</f>
        <v>2 mm</v>
      </c>
      <c r="F29" s="106">
        <f>COUNTIFS([1]Sheet1!$D$3:$D$240,$B29)</f>
        <v>8</v>
      </c>
      <c r="G29" s="107">
        <f>IF($F$5=0,0,F29/$F$5)</f>
        <v>3.4782608695652174E-2</v>
      </c>
      <c r="H29" s="106">
        <f>SUMIFS([1]Sheet1!$G$3:$G$240,[1]Sheet1!$D$3:$D$240,$B29)</f>
        <v>1125</v>
      </c>
      <c r="I29" s="107">
        <f>IF($F$6=0,0,H29/$F$6)</f>
        <v>2.4503931519679379E-2</v>
      </c>
      <c r="J29" s="106">
        <f>SUMIFS([1]Sheet1!$H$3:$H$240,[1]Sheet1!$D$3:$D$240,$B29)</f>
        <v>195</v>
      </c>
      <c r="K29" s="107">
        <f>IF(H29=0,0,J29/H29)</f>
        <v>0.17333333333333334</v>
      </c>
      <c r="L29" s="106">
        <f>IF(F29=0,0,H29/F29)</f>
        <v>140.625</v>
      </c>
    </row>
    <row r="30" spans="1:12" x14ac:dyDescent="0.3">
      <c r="A30" s="105">
        <f>_xlfn.RANK.EQ(H30,$H$25:$H$30)</f>
        <v>6</v>
      </c>
      <c r="B30" s="105">
        <v>4</v>
      </c>
      <c r="C30" s="105"/>
      <c r="D30" s="105"/>
      <c r="E30" s="84" t="str">
        <f>B30&amp;" mm"</f>
        <v>4 mm</v>
      </c>
      <c r="F30" s="106">
        <f>COUNTIFS([1]Sheet1!$D$3:$D$240,$B30)</f>
        <v>1</v>
      </c>
      <c r="G30" s="107">
        <f>IF($F$5=0,0,F30/$F$5)</f>
        <v>4.3478260869565218E-3</v>
      </c>
      <c r="H30" s="106">
        <f>SUMIFS([1]Sheet1!$G$3:$G$240,[1]Sheet1!$D$3:$D$240,$B30)</f>
        <v>105</v>
      </c>
      <c r="I30" s="107">
        <f>IF($F$6=0,0,H30/$F$6)</f>
        <v>2.2870336085034086E-3</v>
      </c>
      <c r="J30" s="106">
        <f>SUMIFS([1]Sheet1!$H$3:$H$240,[1]Sheet1!$D$3:$D$240,$B30)</f>
        <v>20</v>
      </c>
      <c r="K30" s="107">
        <f>IF(H30=0,0,J30/H30)</f>
        <v>0.19047619047619047</v>
      </c>
      <c r="L30" s="106">
        <f>IF(F30=0,0,H30/F30)</f>
        <v>105</v>
      </c>
    </row>
    <row r="31" spans="1:12" ht="15" thickBot="1" x14ac:dyDescent="0.35">
      <c r="A31" s="108" t="s">
        <v>94</v>
      </c>
      <c r="B31" s="108"/>
      <c r="C31" s="108"/>
      <c r="D31" s="108"/>
      <c r="E31" s="109"/>
      <c r="F31" s="110">
        <f>SUM(F25:F30)</f>
        <v>230</v>
      </c>
      <c r="G31" s="111">
        <f>SUM(G25:G30)</f>
        <v>1</v>
      </c>
      <c r="H31" s="110">
        <f>SUM(H25:H30)</f>
        <v>45911</v>
      </c>
      <c r="I31" s="111">
        <f>SUM(I25:I30)</f>
        <v>1</v>
      </c>
      <c r="J31" s="110">
        <f>SUM(J25:J30)</f>
        <v>6794</v>
      </c>
      <c r="K31" s="111">
        <f>IF(H31=0,0,J31/H31)</f>
        <v>0.14798196510640152</v>
      </c>
      <c r="L31" s="110">
        <f>IF(F31=0,0,H31/F31)</f>
        <v>199.61304347826086</v>
      </c>
    </row>
    <row r="32" spans="1:12" ht="15" thickTop="1" x14ac:dyDescent="0.3"/>
    <row r="33" spans="1:12" x14ac:dyDescent="0.3">
      <c r="A33" s="86" t="s">
        <v>95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</row>
    <row r="34" spans="1:12" ht="28.05" customHeight="1" x14ac:dyDescent="0.3">
      <c r="A34" s="89" t="s">
        <v>86</v>
      </c>
      <c r="B34" s="89" t="s">
        <v>87</v>
      </c>
      <c r="C34" s="89" t="s">
        <v>88</v>
      </c>
      <c r="D34" s="89" t="s">
        <v>89</v>
      </c>
      <c r="E34" s="89" t="s">
        <v>96</v>
      </c>
      <c r="F34" s="89" t="s">
        <v>67</v>
      </c>
      <c r="G34" s="89" t="s">
        <v>91</v>
      </c>
      <c r="H34" s="89" t="s">
        <v>68</v>
      </c>
      <c r="I34" s="89" t="s">
        <v>69</v>
      </c>
      <c r="J34" s="89" t="s">
        <v>92</v>
      </c>
      <c r="K34" s="89" t="s">
        <v>70</v>
      </c>
      <c r="L34" s="89" t="s">
        <v>93</v>
      </c>
    </row>
    <row r="35" spans="1:12" x14ac:dyDescent="0.3">
      <c r="A35" s="105">
        <f>_xlfn.RANK.EQ(H35,$H$35:$H$65)</f>
        <v>1</v>
      </c>
      <c r="B35" s="105"/>
      <c r="C35" s="105">
        <v>84</v>
      </c>
      <c r="D35" s="105">
        <v>120</v>
      </c>
      <c r="E35" s="84" t="str">
        <f>C35&amp;" x "&amp;D35</f>
        <v>84 x 120</v>
      </c>
      <c r="F35" s="106">
        <f>COUNTIFS([1]Sheet1!$E$3:$E$240,$C35,[1]Sheet1!$F$3:$F$240,$D35)</f>
        <v>49</v>
      </c>
      <c r="G35" s="107">
        <f>IF($F$5=0,0,F35/$F$5)</f>
        <v>0.21304347826086956</v>
      </c>
      <c r="H35" s="106">
        <f>SUMIFS([1]Sheet1!$G$3:$G$240,[1]Sheet1!$E$3:$E$240,$C35,[1]Sheet1!$F$3:$F$240,$D35)</f>
        <v>12265</v>
      </c>
      <c r="I35" s="107">
        <f>IF($F$6=0,0,H35/$F$6)</f>
        <v>0.26714730674566006</v>
      </c>
      <c r="J35" s="106">
        <f>SUMIFS([1]Sheet1!$H$3:$H$240,[1]Sheet1!$E$3:$E$240,$C35,[1]Sheet1!$F$3:$F$240,$D35)</f>
        <v>1329</v>
      </c>
      <c r="K35" s="107">
        <f>IF(H35=0,0,J35/H35)</f>
        <v>0.10835711373827965</v>
      </c>
      <c r="L35" s="106">
        <f>IF(F35=0,0,H35/F35)</f>
        <v>250.30612244897958</v>
      </c>
    </row>
    <row r="36" spans="1:12" x14ac:dyDescent="0.3">
      <c r="A36" s="105">
        <f>_xlfn.RANK.EQ(H36,$H$35:$H$65)</f>
        <v>2</v>
      </c>
      <c r="B36" s="105"/>
      <c r="C36" s="105">
        <v>96</v>
      </c>
      <c r="D36" s="105">
        <v>144</v>
      </c>
      <c r="E36" s="84" t="str">
        <f>C36&amp;" x "&amp;D36</f>
        <v>96 x 144</v>
      </c>
      <c r="F36" s="106">
        <f>COUNTIFS([1]Sheet1!$E$3:$E$240,$C36,[1]Sheet1!$F$3:$F$240,$D36)</f>
        <v>25</v>
      </c>
      <c r="G36" s="107">
        <f>IF($F$5=0,0,F36/$F$5)</f>
        <v>0.10869565217391304</v>
      </c>
      <c r="H36" s="106">
        <f>SUMIFS([1]Sheet1!$G$3:$G$240,[1]Sheet1!$E$3:$E$240,$C36,[1]Sheet1!$F$3:$F$240,$D36)</f>
        <v>5327</v>
      </c>
      <c r="I36" s="107">
        <f>IF($F$6=0,0,H36/$F$6)</f>
        <v>0.1160288384047396</v>
      </c>
      <c r="J36" s="106">
        <f>SUMIFS([1]Sheet1!$H$3:$H$240,[1]Sheet1!$E$3:$E$240,$C36,[1]Sheet1!$F$3:$F$240,$D36)</f>
        <v>1265</v>
      </c>
      <c r="K36" s="107">
        <f>IF(H36=0,0,J36/H36)</f>
        <v>0.23746949502534259</v>
      </c>
      <c r="L36" s="106">
        <f>IF(F36=0,0,H36/F36)</f>
        <v>213.08</v>
      </c>
    </row>
    <row r="37" spans="1:12" x14ac:dyDescent="0.3">
      <c r="A37" s="105">
        <f>_xlfn.RANK.EQ(H37,$H$35:$H$65)</f>
        <v>3</v>
      </c>
      <c r="B37" s="105"/>
      <c r="C37" s="105">
        <v>96</v>
      </c>
      <c r="D37" s="105">
        <v>84</v>
      </c>
      <c r="E37" s="84" t="str">
        <f>C37&amp;" x "&amp;D37</f>
        <v>96 x 84</v>
      </c>
      <c r="F37" s="106">
        <f>COUNTIFS([1]Sheet1!$E$3:$E$240,$C37,[1]Sheet1!$F$3:$F$240,$D37)</f>
        <v>18</v>
      </c>
      <c r="G37" s="107">
        <f>IF($F$5=0,0,F37/$F$5)</f>
        <v>7.8260869565217397E-2</v>
      </c>
      <c r="H37" s="106">
        <f>SUMIFS([1]Sheet1!$G$3:$G$240,[1]Sheet1!$E$3:$E$240,$C37,[1]Sheet1!$F$3:$F$240,$D37)</f>
        <v>3870</v>
      </c>
      <c r="I37" s="107">
        <f>IF($F$6=0,0,H37/$F$6)</f>
        <v>8.4293524427697067E-2</v>
      </c>
      <c r="J37" s="106">
        <f>SUMIFS([1]Sheet1!$H$3:$H$240,[1]Sheet1!$E$3:$E$240,$C37,[1]Sheet1!$F$3:$F$240,$D37)</f>
        <v>500</v>
      </c>
      <c r="K37" s="107">
        <f>IF(H37=0,0,J37/H37)</f>
        <v>0.12919896640826872</v>
      </c>
      <c r="L37" s="106">
        <f>IF(F37=0,0,H37/F37)</f>
        <v>215</v>
      </c>
    </row>
    <row r="38" spans="1:12" x14ac:dyDescent="0.3">
      <c r="A38" s="105">
        <f>_xlfn.RANK.EQ(H38,$H$35:$H$65)</f>
        <v>4</v>
      </c>
      <c r="B38" s="105"/>
      <c r="C38" s="105">
        <v>72</v>
      </c>
      <c r="D38" s="105">
        <v>120</v>
      </c>
      <c r="E38" s="84" t="str">
        <f>C38&amp;" x "&amp;D38</f>
        <v>72 x 120</v>
      </c>
      <c r="F38" s="106">
        <f>COUNTIFS([1]Sheet1!$E$3:$E$240,$C38,[1]Sheet1!$F$3:$F$240,$D38)</f>
        <v>21</v>
      </c>
      <c r="G38" s="107">
        <f>IF($F$5=0,0,F38/$F$5)</f>
        <v>9.1304347826086957E-2</v>
      </c>
      <c r="H38" s="106">
        <f>SUMIFS([1]Sheet1!$G$3:$G$240,[1]Sheet1!$E$3:$E$240,$C38,[1]Sheet1!$F$3:$F$240,$D38)</f>
        <v>3673</v>
      </c>
      <c r="I38" s="107">
        <f>IF($F$6=0,0,H38/$F$6)</f>
        <v>8.0002613752695434E-2</v>
      </c>
      <c r="J38" s="106">
        <f>SUMIFS([1]Sheet1!$H$3:$H$240,[1]Sheet1!$E$3:$E$240,$C38,[1]Sheet1!$F$3:$F$240,$D38)</f>
        <v>675</v>
      </c>
      <c r="K38" s="107">
        <f>IF(H38=0,0,J38/H38)</f>
        <v>0.1837734821671658</v>
      </c>
      <c r="L38" s="106">
        <f>IF(F38=0,0,H38/F38)</f>
        <v>174.9047619047619</v>
      </c>
    </row>
    <row r="39" spans="1:12" x14ac:dyDescent="0.3">
      <c r="A39" s="105">
        <f>_xlfn.RANK.EQ(H39,$H$35:$H$65)</f>
        <v>5</v>
      </c>
      <c r="B39" s="105"/>
      <c r="C39" s="105">
        <v>96</v>
      </c>
      <c r="D39" s="105">
        <v>72</v>
      </c>
      <c r="E39" s="84" t="str">
        <f>C39&amp;" x "&amp;D39</f>
        <v>96 x 72</v>
      </c>
      <c r="F39" s="106">
        <f>COUNTIFS([1]Sheet1!$E$3:$E$240,$C39,[1]Sheet1!$F$3:$F$240,$D39)</f>
        <v>26</v>
      </c>
      <c r="G39" s="107">
        <f>IF($F$5=0,0,F39/$F$5)</f>
        <v>0.11304347826086956</v>
      </c>
      <c r="H39" s="106">
        <f>SUMIFS([1]Sheet1!$G$3:$G$240,[1]Sheet1!$E$3:$E$240,$C39,[1]Sheet1!$F$3:$F$240,$D39)</f>
        <v>3668</v>
      </c>
      <c r="I39" s="107">
        <f>IF($F$6=0,0,H39/$F$6)</f>
        <v>7.9893707390385746E-2</v>
      </c>
      <c r="J39" s="106">
        <f>SUMIFS([1]Sheet1!$H$3:$H$240,[1]Sheet1!$E$3:$E$240,$C39,[1]Sheet1!$F$3:$F$240,$D39)</f>
        <v>622</v>
      </c>
      <c r="K39" s="107">
        <f>IF(H39=0,0,J39/H39)</f>
        <v>0.16957470010905126</v>
      </c>
      <c r="L39" s="106">
        <f>IF(F39=0,0,H39/F39)</f>
        <v>141.07692307692307</v>
      </c>
    </row>
    <row r="40" spans="1:12" x14ac:dyDescent="0.3">
      <c r="A40" s="105">
        <f>_xlfn.RANK.EQ(H40,$H$35:$H$65)</f>
        <v>6</v>
      </c>
      <c r="B40" s="105"/>
      <c r="C40" s="105">
        <v>96</v>
      </c>
      <c r="D40" s="105">
        <v>120</v>
      </c>
      <c r="E40" s="84" t="str">
        <f>C40&amp;" x "&amp;D40</f>
        <v>96 x 120</v>
      </c>
      <c r="F40" s="106">
        <f>COUNTIFS([1]Sheet1!$E$3:$E$240,$C40,[1]Sheet1!$F$3:$F$240,$D40)</f>
        <v>20</v>
      </c>
      <c r="G40" s="107">
        <f>IF($F$5=0,0,F40/$F$5)</f>
        <v>8.6956521739130432E-2</v>
      </c>
      <c r="H40" s="106">
        <f>SUMIFS([1]Sheet1!$G$3:$G$240,[1]Sheet1!$E$3:$E$240,$C40,[1]Sheet1!$F$3:$F$240,$D40)</f>
        <v>2816</v>
      </c>
      <c r="I40" s="107">
        <f>IF($F$6=0,0,H40/$F$6)</f>
        <v>6.133606325281523E-2</v>
      </c>
      <c r="J40" s="106">
        <f>SUMIFS([1]Sheet1!$H$3:$H$240,[1]Sheet1!$E$3:$E$240,$C40,[1]Sheet1!$F$3:$F$240,$D40)</f>
        <v>453</v>
      </c>
      <c r="K40" s="107">
        <f>IF(H40=0,0,J40/H40)</f>
        <v>0.16086647727272727</v>
      </c>
      <c r="L40" s="106">
        <f>IF(F40=0,0,H40/F40)</f>
        <v>140.80000000000001</v>
      </c>
    </row>
    <row r="41" spans="1:12" x14ac:dyDescent="0.3">
      <c r="A41" s="105">
        <f>_xlfn.RANK.EQ(H41,$H$35:$H$65)</f>
        <v>7</v>
      </c>
      <c r="B41" s="105"/>
      <c r="C41" s="105">
        <v>84</v>
      </c>
      <c r="D41" s="105">
        <v>72</v>
      </c>
      <c r="E41" s="84" t="str">
        <f>C41&amp;" x "&amp;D41</f>
        <v>84 x 72</v>
      </c>
      <c r="F41" s="106">
        <f>COUNTIFS([1]Sheet1!$E$3:$E$240,$C41,[1]Sheet1!$F$3:$F$240,$D41)</f>
        <v>12</v>
      </c>
      <c r="G41" s="107">
        <f>IF($F$5=0,0,F41/$F$5)</f>
        <v>5.2173913043478258E-2</v>
      </c>
      <c r="H41" s="106">
        <f>SUMIFS([1]Sheet1!$G$3:$G$240,[1]Sheet1!$E$3:$E$240,$C41,[1]Sheet1!$F$3:$F$240,$D41)</f>
        <v>1960</v>
      </c>
      <c r="I41" s="107">
        <f>IF($F$6=0,0,H41/$F$6)</f>
        <v>4.2691294025396967E-2</v>
      </c>
      <c r="J41" s="106">
        <f>SUMIFS([1]Sheet1!$H$3:$H$240,[1]Sheet1!$E$3:$E$240,$C41,[1]Sheet1!$F$3:$F$240,$D41)</f>
        <v>185</v>
      </c>
      <c r="K41" s="107">
        <f>IF(H41=0,0,J41/H41)</f>
        <v>9.438775510204081E-2</v>
      </c>
      <c r="L41" s="106">
        <f>IF(F41=0,0,H41/F41)</f>
        <v>163.33333333333334</v>
      </c>
    </row>
    <row r="42" spans="1:12" x14ac:dyDescent="0.3">
      <c r="A42" s="105">
        <f>_xlfn.RANK.EQ(H42,$H$35:$H$65)</f>
        <v>8</v>
      </c>
      <c r="B42" s="105"/>
      <c r="C42" s="105">
        <v>30</v>
      </c>
      <c r="D42" s="105">
        <v>60</v>
      </c>
      <c r="E42" s="84" t="str">
        <f>C42&amp;" x "&amp;D42</f>
        <v>30 x 60</v>
      </c>
      <c r="F42" s="106">
        <f>COUNTIFS([1]Sheet1!$E$3:$E$240,$C42,[1]Sheet1!$F$3:$F$240,$D42)</f>
        <v>7</v>
      </c>
      <c r="G42" s="107">
        <f>IF($F$5=0,0,F42/$F$5)</f>
        <v>3.0434782608695653E-2</v>
      </c>
      <c r="H42" s="106">
        <f>SUMIFS([1]Sheet1!$G$3:$G$240,[1]Sheet1!$E$3:$E$240,$C42,[1]Sheet1!$F$3:$F$240,$D42)</f>
        <v>1925</v>
      </c>
      <c r="I42" s="107">
        <f>IF($F$6=0,0,H42/$F$6)</f>
        <v>4.1928949489229164E-2</v>
      </c>
      <c r="J42" s="106">
        <f>SUMIFS([1]Sheet1!$H$3:$H$240,[1]Sheet1!$E$3:$E$240,$C42,[1]Sheet1!$F$3:$F$240,$D42)</f>
        <v>120</v>
      </c>
      <c r="K42" s="107">
        <f>IF(H42=0,0,J42/H42)</f>
        <v>6.2337662337662338E-2</v>
      </c>
      <c r="L42" s="106">
        <f>IF(F42=0,0,H42/F42)</f>
        <v>275</v>
      </c>
    </row>
    <row r="43" spans="1:12" x14ac:dyDescent="0.3">
      <c r="A43" s="105">
        <f>_xlfn.RANK.EQ(H43,$H$35:$H$65)</f>
        <v>9</v>
      </c>
      <c r="B43" s="105"/>
      <c r="C43" s="105">
        <v>43</v>
      </c>
      <c r="D43" s="105">
        <v>49</v>
      </c>
      <c r="E43" s="84" t="str">
        <f>C43&amp;" x "&amp;D43</f>
        <v>43 x 49</v>
      </c>
      <c r="F43" s="106">
        <f>COUNTIFS([1]Sheet1!$E$3:$E$240,$C43,[1]Sheet1!$F$3:$F$240,$D43)</f>
        <v>4</v>
      </c>
      <c r="G43" s="107">
        <f>IF($F$5=0,0,F43/$F$5)</f>
        <v>1.7391304347826087E-2</v>
      </c>
      <c r="H43" s="106">
        <f>SUMIFS([1]Sheet1!$G$3:$G$240,[1]Sheet1!$E$3:$E$240,$C43,[1]Sheet1!$F$3:$F$240,$D43)</f>
        <v>1540</v>
      </c>
      <c r="I43" s="107">
        <f>IF($F$6=0,0,H43/$F$6)</f>
        <v>3.3543159591383327E-2</v>
      </c>
      <c r="J43" s="106">
        <f>SUMIFS([1]Sheet1!$H$3:$H$240,[1]Sheet1!$E$3:$E$240,$C43,[1]Sheet1!$F$3:$F$240,$D43)</f>
        <v>175</v>
      </c>
      <c r="K43" s="107">
        <f>IF(H43=0,0,J43/H43)</f>
        <v>0.11363636363636363</v>
      </c>
      <c r="L43" s="106">
        <f>IF(F43=0,0,H43/F43)</f>
        <v>385</v>
      </c>
    </row>
    <row r="44" spans="1:12" x14ac:dyDescent="0.3">
      <c r="A44" s="105">
        <f>_xlfn.RANK.EQ(H44,$H$35:$H$65)</f>
        <v>10</v>
      </c>
      <c r="B44" s="105"/>
      <c r="C44" s="105">
        <v>84</v>
      </c>
      <c r="D44" s="105">
        <v>126</v>
      </c>
      <c r="E44" s="84" t="str">
        <f>C44&amp;" x "&amp;D44</f>
        <v>84 x 126</v>
      </c>
      <c r="F44" s="106">
        <f>COUNTIFS([1]Sheet1!$E$3:$E$240,$C44,[1]Sheet1!$F$3:$F$240,$D44)</f>
        <v>7</v>
      </c>
      <c r="G44" s="107">
        <f>IF($F$5=0,0,F44/$F$5)</f>
        <v>3.0434782608695653E-2</v>
      </c>
      <c r="H44" s="106">
        <f>SUMIFS([1]Sheet1!$G$3:$G$240,[1]Sheet1!$E$3:$E$240,$C44,[1]Sheet1!$F$3:$F$240,$D44)</f>
        <v>1350</v>
      </c>
      <c r="I44" s="107">
        <f>IF($F$6=0,0,H44/$F$6)</f>
        <v>2.9404717823615256E-2</v>
      </c>
      <c r="J44" s="106">
        <f>SUMIFS([1]Sheet1!$H$3:$H$240,[1]Sheet1!$E$3:$E$240,$C44,[1]Sheet1!$F$3:$F$240,$D44)</f>
        <v>190</v>
      </c>
      <c r="K44" s="107">
        <f>IF(H44=0,0,J44/H44)</f>
        <v>0.14074074074074075</v>
      </c>
      <c r="L44" s="106">
        <f>IF(F44=0,0,H44/F44)</f>
        <v>192.85714285714286</v>
      </c>
    </row>
    <row r="45" spans="1:12" x14ac:dyDescent="0.3">
      <c r="A45" s="105">
        <f>_xlfn.RANK.EQ(H45,$H$35:$H$65)</f>
        <v>11</v>
      </c>
      <c r="B45" s="105"/>
      <c r="C45" s="105">
        <v>84</v>
      </c>
      <c r="D45" s="105">
        <v>60</v>
      </c>
      <c r="E45" s="84" t="str">
        <f>C45&amp;" x "&amp;D45</f>
        <v>84 x 60</v>
      </c>
      <c r="F45" s="106">
        <f>COUNTIFS([1]Sheet1!$E$3:$E$240,$C45,[1]Sheet1!$F$3:$F$240,$D45)</f>
        <v>7</v>
      </c>
      <c r="G45" s="107">
        <f>IF($F$5=0,0,F45/$F$5)</f>
        <v>3.0434782608695653E-2</v>
      </c>
      <c r="H45" s="106">
        <f>SUMIFS([1]Sheet1!$G$3:$G$240,[1]Sheet1!$E$3:$E$240,$C45,[1]Sheet1!$F$3:$F$240,$D45)</f>
        <v>1277</v>
      </c>
      <c r="I45" s="107">
        <f>IF($F$6=0,0,H45/$F$6)</f>
        <v>2.7814684933893837E-2</v>
      </c>
      <c r="J45" s="106">
        <f>SUMIFS([1]Sheet1!$H$3:$H$240,[1]Sheet1!$E$3:$E$240,$C45,[1]Sheet1!$F$3:$F$240,$D45)</f>
        <v>180</v>
      </c>
      <c r="K45" s="107">
        <f>IF(H45=0,0,J45/H45)</f>
        <v>0.14095536413469067</v>
      </c>
      <c r="L45" s="106">
        <f>IF(F45=0,0,H45/F45)</f>
        <v>182.42857142857142</v>
      </c>
    </row>
    <row r="46" spans="1:12" x14ac:dyDescent="0.3">
      <c r="A46" s="105">
        <f>_xlfn.RANK.EQ(H46,$H$35:$H$65)</f>
        <v>12</v>
      </c>
      <c r="B46" s="105"/>
      <c r="C46" s="105">
        <v>48</v>
      </c>
      <c r="D46" s="105">
        <v>72</v>
      </c>
      <c r="E46" s="84" t="str">
        <f>C46&amp;" x "&amp;D46</f>
        <v>48 x 72</v>
      </c>
      <c r="F46" s="106">
        <f>COUNTIFS([1]Sheet1!$E$3:$E$240,$C46,[1]Sheet1!$F$3:$F$240,$D46)</f>
        <v>6</v>
      </c>
      <c r="G46" s="107">
        <f>IF($F$5=0,0,F46/$F$5)</f>
        <v>2.6086956521739129E-2</v>
      </c>
      <c r="H46" s="106">
        <f>SUMIFS([1]Sheet1!$G$3:$G$240,[1]Sheet1!$E$3:$E$240,$C46,[1]Sheet1!$F$3:$F$240,$D46)</f>
        <v>1240</v>
      </c>
      <c r="I46" s="107">
        <f>IF($F$6=0,0,H46/$F$6)</f>
        <v>2.700877785280216E-2</v>
      </c>
      <c r="J46" s="106">
        <f>SUMIFS([1]Sheet1!$H$3:$H$240,[1]Sheet1!$E$3:$E$240,$C46,[1]Sheet1!$F$3:$F$240,$D46)</f>
        <v>105</v>
      </c>
      <c r="K46" s="107">
        <f>IF(H46=0,0,J46/H46)</f>
        <v>8.4677419354838704E-2</v>
      </c>
      <c r="L46" s="106">
        <f>IF(F46=0,0,H46/F46)</f>
        <v>206.66666666666666</v>
      </c>
    </row>
    <row r="47" spans="1:12" x14ac:dyDescent="0.3">
      <c r="A47" s="105">
        <f>_xlfn.RANK.EQ(H47,$H$35:$H$65)</f>
        <v>13</v>
      </c>
      <c r="B47" s="105"/>
      <c r="C47" s="105">
        <v>49</v>
      </c>
      <c r="D47" s="105">
        <v>43</v>
      </c>
      <c r="E47" s="84" t="str">
        <f>C47&amp;" x "&amp;D47</f>
        <v>49 x 43</v>
      </c>
      <c r="F47" s="106">
        <f>COUNTIFS([1]Sheet1!$E$3:$E$240,$C47,[1]Sheet1!$F$3:$F$240,$D47)</f>
        <v>1</v>
      </c>
      <c r="G47" s="107">
        <f>IF($F$5=0,0,F47/$F$5)</f>
        <v>4.3478260869565218E-3</v>
      </c>
      <c r="H47" s="106">
        <f>SUMIFS([1]Sheet1!$G$3:$G$240,[1]Sheet1!$E$3:$E$240,$C47,[1]Sheet1!$F$3:$F$240,$D47)</f>
        <v>735</v>
      </c>
      <c r="I47" s="107">
        <f>IF($F$6=0,0,H47/$F$6)</f>
        <v>1.6009235259523861E-2</v>
      </c>
      <c r="J47" s="106">
        <f>SUMIFS([1]Sheet1!$H$3:$H$240,[1]Sheet1!$E$3:$E$240,$C47,[1]Sheet1!$F$3:$F$240,$D47)</f>
        <v>145</v>
      </c>
      <c r="K47" s="107">
        <f>IF(H47=0,0,J47/H47)</f>
        <v>0.19727891156462585</v>
      </c>
      <c r="L47" s="106">
        <f>IF(F47=0,0,H47/F47)</f>
        <v>735</v>
      </c>
    </row>
    <row r="48" spans="1:12" x14ac:dyDescent="0.3">
      <c r="A48" s="105">
        <f>_xlfn.RANK.EQ(H48,$H$35:$H$65)</f>
        <v>14</v>
      </c>
      <c r="B48" s="105"/>
      <c r="C48" s="105">
        <v>48</v>
      </c>
      <c r="D48" s="105">
        <v>36</v>
      </c>
      <c r="E48" s="84" t="str">
        <f>C48&amp;" x "&amp;D48</f>
        <v>48 x 36</v>
      </c>
      <c r="F48" s="106">
        <f>COUNTIFS([1]Sheet1!$E$3:$E$240,$C48,[1]Sheet1!$F$3:$F$240,$D48)</f>
        <v>1</v>
      </c>
      <c r="G48" s="107">
        <f>IF($F$5=0,0,F48/$F$5)</f>
        <v>4.3478260869565218E-3</v>
      </c>
      <c r="H48" s="106">
        <f>SUMIFS([1]Sheet1!$G$3:$G$240,[1]Sheet1!$E$3:$E$240,$C48,[1]Sheet1!$F$3:$F$240,$D48)</f>
        <v>620</v>
      </c>
      <c r="I48" s="107">
        <f>IF($F$6=0,0,H48/$F$6)</f>
        <v>1.350438892640108E-2</v>
      </c>
      <c r="J48" s="106">
        <f>SUMIFS([1]Sheet1!$H$3:$H$240,[1]Sheet1!$E$3:$E$240,$C48,[1]Sheet1!$F$3:$F$240,$D48)</f>
        <v>115</v>
      </c>
      <c r="K48" s="107">
        <f>IF(H48=0,0,J48/H48)</f>
        <v>0.18548387096774194</v>
      </c>
      <c r="L48" s="106">
        <f>IF(F48=0,0,H48/F48)</f>
        <v>620</v>
      </c>
    </row>
    <row r="49" spans="1:12" x14ac:dyDescent="0.3">
      <c r="A49" s="105">
        <f>_xlfn.RANK.EQ(H49,$H$35:$H$65)</f>
        <v>15</v>
      </c>
      <c r="B49" s="105"/>
      <c r="C49" s="105">
        <v>84</v>
      </c>
      <c r="D49" s="105">
        <v>130</v>
      </c>
      <c r="E49" s="84" t="str">
        <f>C49&amp;" x "&amp;D49</f>
        <v>84 x 130</v>
      </c>
      <c r="F49" s="106">
        <f>COUNTIFS([1]Sheet1!$E$3:$E$240,$C49,[1]Sheet1!$F$3:$F$240,$D49)</f>
        <v>2</v>
      </c>
      <c r="G49" s="107">
        <f>IF($F$5=0,0,F49/$F$5)</f>
        <v>8.6956521739130436E-3</v>
      </c>
      <c r="H49" s="106">
        <f>SUMIFS([1]Sheet1!$G$3:$G$240,[1]Sheet1!$E$3:$E$240,$C49,[1]Sheet1!$F$3:$F$240,$D49)</f>
        <v>545</v>
      </c>
      <c r="I49" s="107">
        <f>IF($F$6=0,0,H49/$F$6)</f>
        <v>1.1870793491755788E-2</v>
      </c>
      <c r="J49" s="106">
        <f>SUMIFS([1]Sheet1!$H$3:$H$240,[1]Sheet1!$E$3:$E$240,$C49,[1]Sheet1!$F$3:$F$240,$D49)</f>
        <v>95</v>
      </c>
      <c r="K49" s="107">
        <f>IF(H49=0,0,J49/H49)</f>
        <v>0.1743119266055046</v>
      </c>
      <c r="L49" s="106">
        <f>IF(F49=0,0,H49/F49)</f>
        <v>272.5</v>
      </c>
    </row>
    <row r="50" spans="1:12" x14ac:dyDescent="0.3">
      <c r="A50" s="105">
        <f>_xlfn.RANK.EQ(H50,$H$35:$H$65)</f>
        <v>16</v>
      </c>
      <c r="B50" s="105"/>
      <c r="C50" s="105">
        <v>30</v>
      </c>
      <c r="D50" s="105">
        <v>50</v>
      </c>
      <c r="E50" s="84" t="str">
        <f>C50&amp;" x "&amp;D50</f>
        <v>30 x 50</v>
      </c>
      <c r="F50" s="106">
        <f>COUNTIFS([1]Sheet1!$E$3:$E$240,$C50,[1]Sheet1!$F$3:$F$240,$D50)</f>
        <v>4</v>
      </c>
      <c r="G50" s="107">
        <f>IF($F$5=0,0,F50/$F$5)</f>
        <v>1.7391304347826087E-2</v>
      </c>
      <c r="H50" s="106">
        <f>SUMIFS([1]Sheet1!$G$3:$G$240,[1]Sheet1!$E$3:$E$240,$C50,[1]Sheet1!$F$3:$F$240,$D50)</f>
        <v>370</v>
      </c>
      <c r="I50" s="107">
        <f>IF($F$6=0,0,H50/$F$6)</f>
        <v>8.0590708109167745E-3</v>
      </c>
      <c r="J50" s="106">
        <f>SUMIFS([1]Sheet1!$H$3:$H$240,[1]Sheet1!$E$3:$E$240,$C50,[1]Sheet1!$F$3:$F$240,$D50)</f>
        <v>35</v>
      </c>
      <c r="K50" s="107">
        <f>IF(H50=0,0,J50/H50)</f>
        <v>9.45945945945946E-2</v>
      </c>
      <c r="L50" s="106">
        <f>IF(F50=0,0,H50/F50)</f>
        <v>92.5</v>
      </c>
    </row>
    <row r="51" spans="1:12" x14ac:dyDescent="0.3">
      <c r="A51" s="105">
        <f>_xlfn.RANK.EQ(H51,$H$35:$H$65)</f>
        <v>17</v>
      </c>
      <c r="B51" s="105"/>
      <c r="C51" s="105">
        <v>96</v>
      </c>
      <c r="D51" s="105">
        <v>130</v>
      </c>
      <c r="E51" s="84" t="str">
        <f>C51&amp;" x "&amp;D51</f>
        <v>96 x 130</v>
      </c>
      <c r="F51" s="106">
        <f>COUNTIFS([1]Sheet1!$E$3:$E$240,$C51,[1]Sheet1!$F$3:$F$240,$D51)</f>
        <v>1</v>
      </c>
      <c r="G51" s="107">
        <f>IF($F$5=0,0,F51/$F$5)</f>
        <v>4.3478260869565218E-3</v>
      </c>
      <c r="H51" s="106">
        <f>SUMIFS([1]Sheet1!$G$3:$G$240,[1]Sheet1!$E$3:$E$240,$C51,[1]Sheet1!$F$3:$F$240,$D51)</f>
        <v>325</v>
      </c>
      <c r="I51" s="107">
        <f>IF($F$6=0,0,H51/$F$6)</f>
        <v>7.0789135501295982E-3</v>
      </c>
      <c r="J51" s="106">
        <f>SUMIFS([1]Sheet1!$H$3:$H$240,[1]Sheet1!$E$3:$E$240,$C51,[1]Sheet1!$F$3:$F$240,$D51)</f>
        <v>205</v>
      </c>
      <c r="K51" s="107">
        <f>IF(H51=0,0,J51/H51)</f>
        <v>0.63076923076923075</v>
      </c>
      <c r="L51" s="106">
        <f>IF(F51=0,0,H51/F51)</f>
        <v>325</v>
      </c>
    </row>
    <row r="52" spans="1:12" x14ac:dyDescent="0.3">
      <c r="A52" s="105">
        <f>_xlfn.RANK.EQ(H52,$H$35:$H$65)</f>
        <v>18</v>
      </c>
      <c r="B52" s="105"/>
      <c r="C52" s="105">
        <v>96</v>
      </c>
      <c r="D52" s="105">
        <v>100</v>
      </c>
      <c r="E52" s="84" t="str">
        <f>C52&amp;" x "&amp;D52</f>
        <v>96 x 100</v>
      </c>
      <c r="F52" s="106">
        <f>COUNTIFS([1]Sheet1!$E$3:$E$240,$C52,[1]Sheet1!$F$3:$F$240,$D52)</f>
        <v>1</v>
      </c>
      <c r="G52" s="107">
        <f>IF($F$5=0,0,F52/$F$5)</f>
        <v>4.3478260869565218E-3</v>
      </c>
      <c r="H52" s="106">
        <f>SUMIFS([1]Sheet1!$G$3:$G$240,[1]Sheet1!$E$3:$E$240,$C52,[1]Sheet1!$F$3:$F$240,$D52)</f>
        <v>320</v>
      </c>
      <c r="I52" s="107">
        <f>IF($F$6=0,0,H52/$F$6)</f>
        <v>6.9700071878199127E-3</v>
      </c>
      <c r="J52" s="106">
        <f>SUMIFS([1]Sheet1!$H$3:$H$240,[1]Sheet1!$E$3:$E$240,$C52,[1]Sheet1!$F$3:$F$240,$D52)</f>
        <v>135</v>
      </c>
      <c r="K52" s="107">
        <f>IF(H52=0,0,J52/H52)</f>
        <v>0.421875</v>
      </c>
      <c r="L52" s="106">
        <f>IF(F52=0,0,H52/F52)</f>
        <v>320</v>
      </c>
    </row>
    <row r="53" spans="1:12" x14ac:dyDescent="0.3">
      <c r="A53" s="105">
        <f>_xlfn.RANK.EQ(H53,$H$35:$H$65)</f>
        <v>19</v>
      </c>
      <c r="B53" s="105"/>
      <c r="C53" s="105">
        <v>42</v>
      </c>
      <c r="D53" s="105">
        <v>72</v>
      </c>
      <c r="E53" s="84" t="str">
        <f>C53&amp;" x "&amp;D53</f>
        <v>42 x 72</v>
      </c>
      <c r="F53" s="106">
        <f>COUNTIFS([1]Sheet1!$E$3:$E$240,$C53,[1]Sheet1!$F$3:$F$240,$D53)</f>
        <v>1</v>
      </c>
      <c r="G53" s="107">
        <f>IF($F$5=0,0,F53/$F$5)</f>
        <v>4.3478260869565218E-3</v>
      </c>
      <c r="H53" s="106">
        <f>SUMIFS([1]Sheet1!$G$3:$G$240,[1]Sheet1!$E$3:$E$240,$C53,[1]Sheet1!$F$3:$F$240,$D53)</f>
        <v>310</v>
      </c>
      <c r="I53" s="107">
        <f>IF($F$6=0,0,H53/$F$6)</f>
        <v>6.75219446320054E-3</v>
      </c>
      <c r="J53" s="106">
        <f>SUMIFS([1]Sheet1!$H$3:$H$240,[1]Sheet1!$E$3:$E$240,$C53,[1]Sheet1!$F$3:$F$240,$D53)</f>
        <v>10</v>
      </c>
      <c r="K53" s="107">
        <f>IF(H53=0,0,J53/H53)</f>
        <v>3.2258064516129031E-2</v>
      </c>
      <c r="L53" s="106">
        <f>IF(F53=0,0,H53/F53)</f>
        <v>310</v>
      </c>
    </row>
    <row r="54" spans="1:12" x14ac:dyDescent="0.3">
      <c r="A54" s="105">
        <f>_xlfn.RANK.EQ(H54,$H$35:$H$65)</f>
        <v>20</v>
      </c>
      <c r="B54" s="105"/>
      <c r="C54" s="105">
        <v>96</v>
      </c>
      <c r="D54" s="105">
        <v>60</v>
      </c>
      <c r="E54" s="84" t="str">
        <f>C54&amp;" x "&amp;D54</f>
        <v>96 x 60</v>
      </c>
      <c r="F54" s="106">
        <f>COUNTIFS([1]Sheet1!$E$3:$E$240,$C54,[1]Sheet1!$F$3:$F$240,$D54)</f>
        <v>2</v>
      </c>
      <c r="G54" s="107">
        <f>IF($F$5=0,0,F54/$F$5)</f>
        <v>8.6956521739130436E-3</v>
      </c>
      <c r="H54" s="106">
        <f>SUMIFS([1]Sheet1!$G$3:$G$240,[1]Sheet1!$E$3:$E$240,$C54,[1]Sheet1!$F$3:$F$240,$D54)</f>
        <v>290</v>
      </c>
      <c r="I54" s="107">
        <f>IF($F$6=0,0,H54/$F$6)</f>
        <v>6.3165690139617954E-3</v>
      </c>
      <c r="J54" s="106">
        <f>SUMIFS([1]Sheet1!$H$3:$H$240,[1]Sheet1!$E$3:$E$240,$C54,[1]Sheet1!$F$3:$F$240,$D54)</f>
        <v>15</v>
      </c>
      <c r="K54" s="107">
        <f>IF(H54=0,0,J54/H54)</f>
        <v>5.1724137931034482E-2</v>
      </c>
      <c r="L54" s="106">
        <f>IF(F54=0,0,H54/F54)</f>
        <v>145</v>
      </c>
    </row>
    <row r="55" spans="1:12" x14ac:dyDescent="0.3">
      <c r="A55" s="105">
        <f>_xlfn.RANK.EQ(H55,$H$35:$H$65)</f>
        <v>21</v>
      </c>
      <c r="B55" s="105"/>
      <c r="C55" s="105">
        <v>30</v>
      </c>
      <c r="D55" s="105">
        <v>54.5</v>
      </c>
      <c r="E55" s="84" t="str">
        <f>C55&amp;" x "&amp;D55</f>
        <v>30 x 54.5</v>
      </c>
      <c r="F55" s="106">
        <f>COUNTIFS([1]Sheet1!$E$3:$E$240,$C55,[1]Sheet1!$F$3:$F$240,$D55)</f>
        <v>1</v>
      </c>
      <c r="G55" s="107">
        <f>IF($F$5=0,0,F55/$F$5)</f>
        <v>4.3478260869565218E-3</v>
      </c>
      <c r="H55" s="106">
        <f>SUMIFS([1]Sheet1!$G$3:$G$240,[1]Sheet1!$E$3:$E$240,$C55,[1]Sheet1!$F$3:$F$240,$D55)</f>
        <v>210</v>
      </c>
      <c r="I55" s="107">
        <f>IF($F$6=0,0,H55/$F$6)</f>
        <v>4.5740672170068173E-3</v>
      </c>
      <c r="J55" s="106">
        <f>SUMIFS([1]Sheet1!$H$3:$H$240,[1]Sheet1!$E$3:$E$240,$C55,[1]Sheet1!$F$3:$F$240,$D55)</f>
        <v>15</v>
      </c>
      <c r="K55" s="107">
        <f>IF(H55=0,0,J55/H55)</f>
        <v>7.1428571428571425E-2</v>
      </c>
      <c r="L55" s="106">
        <f>IF(F55=0,0,H55/F55)</f>
        <v>210</v>
      </c>
    </row>
    <row r="56" spans="1:12" x14ac:dyDescent="0.3">
      <c r="A56" s="105">
        <f>_xlfn.RANK.EQ(H56,$H$35:$H$65)</f>
        <v>22</v>
      </c>
      <c r="B56" s="105"/>
      <c r="C56" s="105">
        <v>60</v>
      </c>
      <c r="D56" s="105">
        <v>120</v>
      </c>
      <c r="E56" s="84" t="str">
        <f>C56&amp;" x "&amp;D56</f>
        <v>60 x 120</v>
      </c>
      <c r="F56" s="106">
        <f>COUNTIFS([1]Sheet1!$E$3:$E$240,$C56,[1]Sheet1!$F$3:$F$240,$D56)</f>
        <v>3</v>
      </c>
      <c r="G56" s="107">
        <f>IF($F$5=0,0,F56/$F$5)</f>
        <v>1.3043478260869565E-2</v>
      </c>
      <c r="H56" s="106">
        <f>SUMIFS([1]Sheet1!$G$3:$G$240,[1]Sheet1!$E$3:$E$240,$C56,[1]Sheet1!$F$3:$F$240,$D56)</f>
        <v>190</v>
      </c>
      <c r="I56" s="107">
        <f>IF($F$6=0,0,H56/$F$6)</f>
        <v>4.1384417677680727E-3</v>
      </c>
      <c r="J56" s="106">
        <f>SUMIFS([1]Sheet1!$H$3:$H$240,[1]Sheet1!$E$3:$E$240,$C56,[1]Sheet1!$F$3:$F$240,$D56)</f>
        <v>35</v>
      </c>
      <c r="K56" s="107">
        <f>IF(H56=0,0,J56/H56)</f>
        <v>0.18421052631578946</v>
      </c>
      <c r="L56" s="106">
        <f>IF(F56=0,0,H56/F56)</f>
        <v>63.333333333333336</v>
      </c>
    </row>
    <row r="57" spans="1:12" x14ac:dyDescent="0.3">
      <c r="A57" s="105">
        <f>_xlfn.RANK.EQ(H57,$H$35:$H$65)</f>
        <v>23</v>
      </c>
      <c r="B57" s="105"/>
      <c r="C57" s="105">
        <v>36</v>
      </c>
      <c r="D57" s="105">
        <v>60</v>
      </c>
      <c r="E57" s="84" t="str">
        <f>C57&amp;" x "&amp;D57</f>
        <v>36 x 60</v>
      </c>
      <c r="F57" s="106">
        <f>COUNTIFS([1]Sheet1!$E$3:$E$240,$C57,[1]Sheet1!$F$3:$F$240,$D57)</f>
        <v>2</v>
      </c>
      <c r="G57" s="107">
        <f>IF($F$5=0,0,F57/$F$5)</f>
        <v>8.6956521739130436E-3</v>
      </c>
      <c r="H57" s="106">
        <f>SUMIFS([1]Sheet1!$G$3:$G$240,[1]Sheet1!$E$3:$E$240,$C57,[1]Sheet1!$F$3:$F$240,$D57)</f>
        <v>185</v>
      </c>
      <c r="I57" s="107">
        <f>IF($F$6=0,0,H57/$F$6)</f>
        <v>4.0295354054583872E-3</v>
      </c>
      <c r="J57" s="106">
        <f>SUMIFS([1]Sheet1!$H$3:$H$240,[1]Sheet1!$E$3:$E$240,$C57,[1]Sheet1!$F$3:$F$240,$D57)</f>
        <v>30</v>
      </c>
      <c r="K57" s="107">
        <f>IF(H57=0,0,J57/H57)</f>
        <v>0.16216216216216217</v>
      </c>
      <c r="L57" s="106">
        <f>IF(F57=0,0,H57/F57)</f>
        <v>92.5</v>
      </c>
    </row>
    <row r="58" spans="1:12" x14ac:dyDescent="0.3">
      <c r="A58" s="105">
        <f>_xlfn.RANK.EQ(H58,$H$35:$H$65)</f>
        <v>23</v>
      </c>
      <c r="B58" s="105"/>
      <c r="C58" s="105">
        <v>48</v>
      </c>
      <c r="D58" s="105">
        <v>60</v>
      </c>
      <c r="E58" s="84" t="str">
        <f>C58&amp;" x "&amp;D58</f>
        <v>48 x 60</v>
      </c>
      <c r="F58" s="106">
        <f>COUNTIFS([1]Sheet1!$E$3:$E$240,$C58,[1]Sheet1!$F$3:$F$240,$D58)</f>
        <v>1</v>
      </c>
      <c r="G58" s="107">
        <f>IF($F$5=0,0,F58/$F$5)</f>
        <v>4.3478260869565218E-3</v>
      </c>
      <c r="H58" s="106">
        <f>SUMIFS([1]Sheet1!$G$3:$G$240,[1]Sheet1!$E$3:$E$240,$C58,[1]Sheet1!$F$3:$F$240,$D58)</f>
        <v>185</v>
      </c>
      <c r="I58" s="107">
        <f>IF($F$6=0,0,H58/$F$6)</f>
        <v>4.0295354054583872E-3</v>
      </c>
      <c r="J58" s="106">
        <f>SUMIFS([1]Sheet1!$H$3:$H$240,[1]Sheet1!$E$3:$E$240,$C58,[1]Sheet1!$F$3:$F$240,$D58)</f>
        <v>50</v>
      </c>
      <c r="K58" s="107">
        <f>IF(H58=0,0,J58/H58)</f>
        <v>0.27027027027027029</v>
      </c>
      <c r="L58" s="106">
        <f>IF(F58=0,0,H58/F58)</f>
        <v>185</v>
      </c>
    </row>
    <row r="59" spans="1:12" x14ac:dyDescent="0.3">
      <c r="A59" s="105">
        <f>_xlfn.RANK.EQ(H59,$H$35:$H$65)</f>
        <v>25</v>
      </c>
      <c r="B59" s="105"/>
      <c r="C59" s="105">
        <v>84</v>
      </c>
      <c r="D59" s="105">
        <v>84</v>
      </c>
      <c r="E59" s="84" t="str">
        <f>C59&amp;" x "&amp;D59</f>
        <v>84 x 84</v>
      </c>
      <c r="F59" s="106">
        <f>COUNTIFS([1]Sheet1!$E$3:$E$240,$C59,[1]Sheet1!$F$3:$F$240,$D59)</f>
        <v>2</v>
      </c>
      <c r="G59" s="107">
        <f>IF($F$5=0,0,F59/$F$5)</f>
        <v>8.6956521739130436E-3</v>
      </c>
      <c r="H59" s="106">
        <f>SUMIFS([1]Sheet1!$G$3:$G$240,[1]Sheet1!$E$3:$E$240,$C59,[1]Sheet1!$F$3:$F$240,$D59)</f>
        <v>160</v>
      </c>
      <c r="I59" s="107">
        <f>IF($F$6=0,0,H59/$F$6)</f>
        <v>3.4850035939099563E-3</v>
      </c>
      <c r="J59" s="106">
        <f>SUMIFS([1]Sheet1!$H$3:$H$240,[1]Sheet1!$E$3:$E$240,$C59,[1]Sheet1!$F$3:$F$240,$D59)</f>
        <v>25</v>
      </c>
      <c r="K59" s="107">
        <f>IF(H59=0,0,J59/H59)</f>
        <v>0.15625</v>
      </c>
      <c r="L59" s="106">
        <f>IF(F59=0,0,H59/F59)</f>
        <v>80</v>
      </c>
    </row>
    <row r="60" spans="1:12" x14ac:dyDescent="0.3">
      <c r="A60" s="105">
        <f>_xlfn.RANK.EQ(H60,$H$35:$H$65)</f>
        <v>26</v>
      </c>
      <c r="B60" s="105"/>
      <c r="C60" s="105">
        <v>60</v>
      </c>
      <c r="D60" s="105">
        <v>100</v>
      </c>
      <c r="E60" s="84" t="str">
        <f>C60&amp;" x "&amp;D60</f>
        <v>60 x 100</v>
      </c>
      <c r="F60" s="106">
        <f>COUNTIFS([1]Sheet1!$E$3:$E$240,$C60,[1]Sheet1!$F$3:$F$240,$D60)</f>
        <v>1</v>
      </c>
      <c r="G60" s="107">
        <f>IF($F$5=0,0,F60/$F$5)</f>
        <v>4.3478260869565218E-3</v>
      </c>
      <c r="H60" s="106">
        <f>SUMIFS([1]Sheet1!$G$3:$G$240,[1]Sheet1!$E$3:$E$240,$C60,[1]Sheet1!$F$3:$F$240,$D60)</f>
        <v>155</v>
      </c>
      <c r="I60" s="107">
        <f>IF($F$6=0,0,H60/$F$6)</f>
        <v>3.37609723160027E-3</v>
      </c>
      <c r="J60" s="106">
        <f>SUMIFS([1]Sheet1!$H$3:$H$240,[1]Sheet1!$E$3:$E$240,$C60,[1]Sheet1!$F$3:$F$240,$D60)</f>
        <v>15</v>
      </c>
      <c r="K60" s="107">
        <f>IF(H60=0,0,J60/H60)</f>
        <v>9.6774193548387094E-2</v>
      </c>
      <c r="L60" s="106">
        <f>IF(F60=0,0,H60/F60)</f>
        <v>155</v>
      </c>
    </row>
    <row r="61" spans="1:12" x14ac:dyDescent="0.3">
      <c r="A61" s="105">
        <f>_xlfn.RANK.EQ(H61,$H$35:$H$65)</f>
        <v>27</v>
      </c>
      <c r="B61" s="105"/>
      <c r="C61" s="105">
        <v>72</v>
      </c>
      <c r="D61" s="105">
        <v>100</v>
      </c>
      <c r="E61" s="84" t="str">
        <f>C61&amp;" x "&amp;D61</f>
        <v>72 x 100</v>
      </c>
      <c r="F61" s="106">
        <f>COUNTIFS([1]Sheet1!$E$3:$E$240,$C61,[1]Sheet1!$F$3:$F$240,$D61)</f>
        <v>1</v>
      </c>
      <c r="G61" s="107">
        <f>IF($F$5=0,0,F61/$F$5)</f>
        <v>4.3478260869565218E-3</v>
      </c>
      <c r="H61" s="106">
        <f>SUMIFS([1]Sheet1!$G$3:$G$240,[1]Sheet1!$E$3:$E$240,$C61,[1]Sheet1!$F$3:$F$240,$D61)</f>
        <v>150</v>
      </c>
      <c r="I61" s="107">
        <f>IF($F$6=0,0,H61/$F$6)</f>
        <v>3.2671908692905841E-3</v>
      </c>
      <c r="J61" s="106">
        <f>SUMIFS([1]Sheet1!$H$3:$H$240,[1]Sheet1!$E$3:$E$240,$C61,[1]Sheet1!$F$3:$F$240,$D61)</f>
        <v>20</v>
      </c>
      <c r="K61" s="107">
        <f>IF(H61=0,0,J61/H61)</f>
        <v>0.13333333333333333</v>
      </c>
      <c r="L61" s="106">
        <f>IF(F61=0,0,H61/F61)</f>
        <v>150</v>
      </c>
    </row>
    <row r="62" spans="1:12" x14ac:dyDescent="0.3">
      <c r="A62" s="105">
        <f>_xlfn.RANK.EQ(H62,$H$35:$H$65)</f>
        <v>28</v>
      </c>
      <c r="B62" s="105"/>
      <c r="C62" s="105">
        <v>36</v>
      </c>
      <c r="D62" s="105">
        <v>72</v>
      </c>
      <c r="E62" s="84" t="str">
        <f>C62&amp;" x "&amp;D62</f>
        <v>36 x 72</v>
      </c>
      <c r="F62" s="106">
        <f>COUNTIFS([1]Sheet1!$E$3:$E$240,$C62,[1]Sheet1!$F$3:$F$240,$D62)</f>
        <v>1</v>
      </c>
      <c r="G62" s="107">
        <f>IF($F$5=0,0,F62/$F$5)</f>
        <v>4.3478260869565218E-3</v>
      </c>
      <c r="H62" s="106">
        <f>SUMIFS([1]Sheet1!$G$3:$G$240,[1]Sheet1!$E$3:$E$240,$C62,[1]Sheet1!$F$3:$F$240,$D62)</f>
        <v>115</v>
      </c>
      <c r="I62" s="107">
        <f>IF($F$6=0,0,H62/$F$6)</f>
        <v>2.5048463331227809E-3</v>
      </c>
      <c r="J62" s="106">
        <f>SUMIFS([1]Sheet1!$H$3:$H$240,[1]Sheet1!$E$3:$E$240,$C62,[1]Sheet1!$F$3:$F$240,$D62)</f>
        <v>5</v>
      </c>
      <c r="K62" s="107">
        <f>IF(H62=0,0,J62/H62)</f>
        <v>4.3478260869565216E-2</v>
      </c>
      <c r="L62" s="106">
        <f>IF(F62=0,0,H62/F62)</f>
        <v>115</v>
      </c>
    </row>
    <row r="63" spans="1:12" x14ac:dyDescent="0.3">
      <c r="A63" s="105">
        <f>_xlfn.RANK.EQ(H63,$H$35:$H$65)</f>
        <v>29</v>
      </c>
      <c r="B63" s="105"/>
      <c r="C63" s="105">
        <v>40</v>
      </c>
      <c r="D63" s="105">
        <v>56</v>
      </c>
      <c r="E63" s="84" t="str">
        <f>C63&amp;" x "&amp;D63</f>
        <v>40 x 56</v>
      </c>
      <c r="F63" s="106">
        <f>COUNTIFS([1]Sheet1!$E$3:$E$240,$C63,[1]Sheet1!$F$3:$F$240,$D63)</f>
        <v>1</v>
      </c>
      <c r="G63" s="107">
        <f>IF($F$5=0,0,F63/$F$5)</f>
        <v>4.3478260869565218E-3</v>
      </c>
      <c r="H63" s="106">
        <f>SUMIFS([1]Sheet1!$G$3:$G$240,[1]Sheet1!$E$3:$E$240,$C63,[1]Sheet1!$F$3:$F$240,$D63)</f>
        <v>55</v>
      </c>
      <c r="I63" s="107">
        <f>IF($F$6=0,0,H63/$F$6)</f>
        <v>1.1979699854065475E-3</v>
      </c>
      <c r="J63" s="106">
        <f>SUMIFS([1]Sheet1!$H$3:$H$240,[1]Sheet1!$E$3:$E$240,$C63,[1]Sheet1!$F$3:$F$240,$D63)</f>
        <v>15</v>
      </c>
      <c r="K63" s="107">
        <f>IF(H63=0,0,J63/H63)</f>
        <v>0.27272727272727271</v>
      </c>
      <c r="L63" s="106">
        <f>IF(F63=0,0,H63/F63)</f>
        <v>55</v>
      </c>
    </row>
    <row r="64" spans="1:12" x14ac:dyDescent="0.3">
      <c r="A64" s="105">
        <f>_xlfn.RANK.EQ(H64,$H$35:$H$65)</f>
        <v>30</v>
      </c>
      <c r="B64" s="105"/>
      <c r="C64" s="105">
        <v>30</v>
      </c>
      <c r="D64" s="105">
        <v>40</v>
      </c>
      <c r="E64" s="84" t="str">
        <f>C64&amp;" x "&amp;D64</f>
        <v>30 x 40</v>
      </c>
      <c r="F64" s="106">
        <f>COUNTIFS([1]Sheet1!$E$3:$E$240,$C64,[1]Sheet1!$F$3:$F$240,$D64)</f>
        <v>1</v>
      </c>
      <c r="G64" s="107">
        <f>IF($F$5=0,0,F64/$F$5)</f>
        <v>4.3478260869565218E-3</v>
      </c>
      <c r="H64" s="106">
        <f>SUMIFS([1]Sheet1!$G$3:$G$240,[1]Sheet1!$E$3:$E$240,$C64,[1]Sheet1!$F$3:$F$240,$D64)</f>
        <v>40</v>
      </c>
      <c r="I64" s="107">
        <f>IF($F$6=0,0,H64/$F$6)</f>
        <v>8.7125089847748909E-4</v>
      </c>
      <c r="J64" s="106">
        <f>SUMIFS([1]Sheet1!$H$3:$H$240,[1]Sheet1!$E$3:$E$240,$C64,[1]Sheet1!$F$3:$F$240,$D64)</f>
        <v>15</v>
      </c>
      <c r="K64" s="107">
        <f>IF(H64=0,0,J64/H64)</f>
        <v>0.375</v>
      </c>
      <c r="L64" s="106">
        <f>IF(F64=0,0,H64/F64)</f>
        <v>40</v>
      </c>
    </row>
    <row r="65" spans="1:12" x14ac:dyDescent="0.3">
      <c r="A65" s="105">
        <f>_xlfn.RANK.EQ(H65,$H$35:$H$65)</f>
        <v>30</v>
      </c>
      <c r="B65" s="105"/>
      <c r="C65" s="105">
        <v>48</v>
      </c>
      <c r="D65" s="105">
        <v>32</v>
      </c>
      <c r="E65" s="84" t="str">
        <f>C65&amp;" x "&amp;D65</f>
        <v>48 x 32</v>
      </c>
      <c r="F65" s="106">
        <f>COUNTIFS([1]Sheet1!$E$3:$E$240,$C65,[1]Sheet1!$F$3:$F$240,$D65)</f>
        <v>1</v>
      </c>
      <c r="G65" s="107">
        <f>IF($F$5=0,0,F65/$F$5)</f>
        <v>4.3478260869565218E-3</v>
      </c>
      <c r="H65" s="106">
        <f>SUMIFS([1]Sheet1!$G$3:$G$240,[1]Sheet1!$E$3:$E$240,$C65,[1]Sheet1!$F$3:$F$240,$D65)</f>
        <v>40</v>
      </c>
      <c r="I65" s="107">
        <f>IF($F$6=0,0,H65/$F$6)</f>
        <v>8.7125089847748909E-4</v>
      </c>
      <c r="J65" s="106">
        <f>SUMIFS([1]Sheet1!$H$3:$H$240,[1]Sheet1!$E$3:$E$240,$C65,[1]Sheet1!$F$3:$F$240,$D65)</f>
        <v>15</v>
      </c>
      <c r="K65" s="107">
        <f>IF(H65=0,0,J65/H65)</f>
        <v>0.375</v>
      </c>
      <c r="L65" s="106">
        <f>IF(F65=0,0,H65/F65)</f>
        <v>40</v>
      </c>
    </row>
    <row r="66" spans="1:12" ht="15" thickBot="1" x14ac:dyDescent="0.35">
      <c r="A66" s="108" t="s">
        <v>94</v>
      </c>
      <c r="B66" s="108"/>
      <c r="C66" s="108"/>
      <c r="D66" s="108"/>
      <c r="E66" s="109"/>
      <c r="F66" s="110">
        <f>SUM(F35:F65)</f>
        <v>230</v>
      </c>
      <c r="G66" s="111">
        <f>SUM(G35:G65)</f>
        <v>0.99999999999999967</v>
      </c>
      <c r="H66" s="110">
        <f>SUM(H35:H65)</f>
        <v>45911</v>
      </c>
      <c r="I66" s="111">
        <f>SUM(I35:I65)</f>
        <v>1</v>
      </c>
      <c r="J66" s="110">
        <f>SUM(J35:J65)</f>
        <v>6794</v>
      </c>
      <c r="K66" s="111">
        <f>IF(H66=0,0,J66/H66)</f>
        <v>0.14798196510640152</v>
      </c>
      <c r="L66" s="110">
        <f>IF(F66=0,0,H66/F66)</f>
        <v>199.61304347826086</v>
      </c>
    </row>
    <row r="67" spans="1:12" ht="15" thickTop="1" x14ac:dyDescent="0.3"/>
    <row r="68" spans="1:12" x14ac:dyDescent="0.3">
      <c r="A68" s="86" t="s">
        <v>97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</row>
    <row r="69" spans="1:12" ht="28.05" customHeight="1" x14ac:dyDescent="0.3">
      <c r="A69" s="89" t="s">
        <v>86</v>
      </c>
      <c r="B69" s="89" t="s">
        <v>87</v>
      </c>
      <c r="C69" s="89" t="s">
        <v>88</v>
      </c>
      <c r="D69" s="89" t="s">
        <v>89</v>
      </c>
      <c r="E69" s="89" t="s">
        <v>98</v>
      </c>
      <c r="F69" s="89" t="s">
        <v>67</v>
      </c>
      <c r="G69" s="89" t="s">
        <v>91</v>
      </c>
      <c r="H69" s="89" t="s">
        <v>68</v>
      </c>
      <c r="I69" s="89" t="s">
        <v>69</v>
      </c>
      <c r="J69" s="89" t="s">
        <v>92</v>
      </c>
      <c r="K69" s="89" t="s">
        <v>70</v>
      </c>
      <c r="L69" s="89" t="s">
        <v>93</v>
      </c>
    </row>
    <row r="70" spans="1:12" x14ac:dyDescent="0.3">
      <c r="A70" s="105">
        <f>_xlfn.RANK.EQ(H70,$H$70:$H$111)</f>
        <v>1</v>
      </c>
      <c r="B70" s="105">
        <v>5</v>
      </c>
      <c r="C70" s="105">
        <v>84</v>
      </c>
      <c r="D70" s="105">
        <v>120</v>
      </c>
      <c r="E70" s="84" t="str">
        <f>B70&amp;"mm  "&amp;C70&amp;" x "&amp;D70</f>
        <v>5mm  84 x 120</v>
      </c>
      <c r="F70" s="106">
        <f>COUNTIFS([1]Sheet1!$D$3:$D$240,$B70,[1]Sheet1!$E$3:$E$240,$C70,[1]Sheet1!$F$3:$F$240,$D70)</f>
        <v>29</v>
      </c>
      <c r="G70" s="107">
        <f>IF($F$5=0,0,F70/$F$5)</f>
        <v>0.12608695652173912</v>
      </c>
      <c r="H70" s="106">
        <f>SUMIFS([1]Sheet1!$G$3:$G$240,[1]Sheet1!$D$3:$D$240,$B70,[1]Sheet1!$E$3:$E$240,$C70,[1]Sheet1!$F$3:$F$240,$D70)</f>
        <v>8666</v>
      </c>
      <c r="I70" s="107">
        <f>IF($F$6=0,0,H70/$F$6)</f>
        <v>0.188756507155148</v>
      </c>
      <c r="J70" s="106">
        <f>SUMIFS([1]Sheet1!$H$3:$H$240,[1]Sheet1!$D$3:$D$240,$B70,[1]Sheet1!$E$3:$E$240,$C70,[1]Sheet1!$F$3:$F$240,$D70)</f>
        <v>755</v>
      </c>
      <c r="K70" s="107">
        <f>IF(H70=0,0,J70/H70)</f>
        <v>8.7122086314331867E-2</v>
      </c>
      <c r="L70" s="106">
        <f>IF(F70=0,0,H70/F70)</f>
        <v>298.82758620689657</v>
      </c>
    </row>
    <row r="71" spans="1:12" x14ac:dyDescent="0.3">
      <c r="A71" s="105">
        <f>_xlfn.RANK.EQ(H71,$H$70:$H$111)</f>
        <v>2</v>
      </c>
      <c r="B71" s="105">
        <v>6</v>
      </c>
      <c r="C71" s="105">
        <v>84</v>
      </c>
      <c r="D71" s="105">
        <v>120</v>
      </c>
      <c r="E71" s="84" t="str">
        <f>B71&amp;"mm  "&amp;C71&amp;" x "&amp;D71</f>
        <v>6mm  84 x 120</v>
      </c>
      <c r="F71" s="106">
        <f>COUNTIFS([1]Sheet1!$D$3:$D$240,$B71,[1]Sheet1!$E$3:$E$240,$C71,[1]Sheet1!$F$3:$F$240,$D71)</f>
        <v>20</v>
      </c>
      <c r="G71" s="107">
        <f>IF($F$5=0,0,F71/$F$5)</f>
        <v>8.6956521739130432E-2</v>
      </c>
      <c r="H71" s="106">
        <f>SUMIFS([1]Sheet1!$G$3:$G$240,[1]Sheet1!$D$3:$D$240,$B71,[1]Sheet1!$E$3:$E$240,$C71,[1]Sheet1!$F$3:$F$240,$D71)</f>
        <v>3599</v>
      </c>
      <c r="I71" s="107">
        <f>IF($F$6=0,0,H71/$F$6)</f>
        <v>7.8390799590512081E-2</v>
      </c>
      <c r="J71" s="106">
        <f>SUMIFS([1]Sheet1!$H$3:$H$240,[1]Sheet1!$D$3:$D$240,$B71,[1]Sheet1!$E$3:$E$240,$C71,[1]Sheet1!$F$3:$F$240,$D71)</f>
        <v>574</v>
      </c>
      <c r="K71" s="107">
        <f>IF(H71=0,0,J71/H71)</f>
        <v>0.1594887468741317</v>
      </c>
      <c r="L71" s="106">
        <f>IF(F71=0,0,H71/F71)</f>
        <v>179.95</v>
      </c>
    </row>
    <row r="72" spans="1:12" x14ac:dyDescent="0.3">
      <c r="A72" s="105">
        <f>_xlfn.RANK.EQ(H72,$H$70:$H$111)</f>
        <v>3</v>
      </c>
      <c r="B72" s="105">
        <v>5</v>
      </c>
      <c r="C72" s="105">
        <v>96</v>
      </c>
      <c r="D72" s="105">
        <v>144</v>
      </c>
      <c r="E72" s="84" t="str">
        <f>B72&amp;"mm  "&amp;C72&amp;" x "&amp;D72</f>
        <v>5mm  96 x 144</v>
      </c>
      <c r="F72" s="106">
        <f>COUNTIFS([1]Sheet1!$D$3:$D$240,$B72,[1]Sheet1!$E$3:$E$240,$C72,[1]Sheet1!$F$3:$F$240,$D72)</f>
        <v>12</v>
      </c>
      <c r="G72" s="107">
        <f>IF($F$5=0,0,F72/$F$5)</f>
        <v>5.2173913043478258E-2</v>
      </c>
      <c r="H72" s="106">
        <f>SUMIFS([1]Sheet1!$G$3:$G$240,[1]Sheet1!$D$3:$D$240,$B72,[1]Sheet1!$E$3:$E$240,$C72,[1]Sheet1!$F$3:$F$240,$D72)</f>
        <v>3153</v>
      </c>
      <c r="I72" s="107">
        <f>IF($F$6=0,0,H72/$F$6)</f>
        <v>6.8676352072488081E-2</v>
      </c>
      <c r="J72" s="106">
        <f>SUMIFS([1]Sheet1!$H$3:$H$240,[1]Sheet1!$D$3:$D$240,$B72,[1]Sheet1!$E$3:$E$240,$C72,[1]Sheet1!$F$3:$F$240,$D72)</f>
        <v>850</v>
      </c>
      <c r="K72" s="107">
        <f>IF(H72=0,0,J72/H72)</f>
        <v>0.26958452267681571</v>
      </c>
      <c r="L72" s="106">
        <f>IF(F72=0,0,H72/F72)</f>
        <v>262.75</v>
      </c>
    </row>
    <row r="73" spans="1:12" x14ac:dyDescent="0.3">
      <c r="A73" s="105">
        <f>_xlfn.RANK.EQ(H73,$H$70:$H$111)</f>
        <v>4</v>
      </c>
      <c r="B73" s="105">
        <v>5</v>
      </c>
      <c r="C73" s="105">
        <v>96</v>
      </c>
      <c r="D73" s="105">
        <v>72</v>
      </c>
      <c r="E73" s="84" t="str">
        <f>B73&amp;"mm  "&amp;C73&amp;" x "&amp;D73</f>
        <v>5mm  96 x 72</v>
      </c>
      <c r="F73" s="106">
        <f>COUNTIFS([1]Sheet1!$D$3:$D$240,$B73,[1]Sheet1!$E$3:$E$240,$C73,[1]Sheet1!$F$3:$F$240,$D73)</f>
        <v>21</v>
      </c>
      <c r="G73" s="107">
        <f>IF($F$5=0,0,F73/$F$5)</f>
        <v>9.1304347826086957E-2</v>
      </c>
      <c r="H73" s="106">
        <f>SUMIFS([1]Sheet1!$G$3:$G$240,[1]Sheet1!$D$3:$D$240,$B73,[1]Sheet1!$E$3:$E$240,$C73,[1]Sheet1!$F$3:$F$240,$D73)</f>
        <v>2978</v>
      </c>
      <c r="I73" s="107">
        <f>IF($F$6=0,0,H73/$F$6)</f>
        <v>6.4864629391649054E-2</v>
      </c>
      <c r="J73" s="106">
        <f>SUMIFS([1]Sheet1!$H$3:$H$240,[1]Sheet1!$D$3:$D$240,$B73,[1]Sheet1!$E$3:$E$240,$C73,[1]Sheet1!$F$3:$F$240,$D73)</f>
        <v>472</v>
      </c>
      <c r="K73" s="107">
        <f>IF(H73=0,0,J73/H73)</f>
        <v>0.1584956346541303</v>
      </c>
      <c r="L73" s="106">
        <f>IF(F73=0,0,H73/F73)</f>
        <v>141.8095238095238</v>
      </c>
    </row>
    <row r="74" spans="1:12" x14ac:dyDescent="0.3">
      <c r="A74" s="105">
        <f>_xlfn.RANK.EQ(H74,$H$70:$H$111)</f>
        <v>5</v>
      </c>
      <c r="B74" s="105">
        <v>5</v>
      </c>
      <c r="C74" s="105">
        <v>96</v>
      </c>
      <c r="D74" s="105">
        <v>84</v>
      </c>
      <c r="E74" s="84" t="str">
        <f>B74&amp;"mm  "&amp;C74&amp;" x "&amp;D74</f>
        <v>5mm  96 x 84</v>
      </c>
      <c r="F74" s="106">
        <f>COUNTIFS([1]Sheet1!$D$3:$D$240,$B74,[1]Sheet1!$E$3:$E$240,$C74,[1]Sheet1!$F$3:$F$240,$D74)</f>
        <v>12</v>
      </c>
      <c r="G74" s="107">
        <f>IF($F$5=0,0,F74/$F$5)</f>
        <v>5.2173913043478258E-2</v>
      </c>
      <c r="H74" s="106">
        <f>SUMIFS([1]Sheet1!$G$3:$G$240,[1]Sheet1!$D$3:$D$240,$B74,[1]Sheet1!$E$3:$E$240,$C74,[1]Sheet1!$F$3:$F$240,$D74)</f>
        <v>2685</v>
      </c>
      <c r="I74" s="107">
        <f>IF($F$6=0,0,H74/$F$6)</f>
        <v>5.8482716560301455E-2</v>
      </c>
      <c r="J74" s="106">
        <f>SUMIFS([1]Sheet1!$H$3:$H$240,[1]Sheet1!$D$3:$D$240,$B74,[1]Sheet1!$E$3:$E$240,$C74,[1]Sheet1!$F$3:$F$240,$D74)</f>
        <v>350</v>
      </c>
      <c r="K74" s="107">
        <f>IF(H74=0,0,J74/H74)</f>
        <v>0.13035381750465549</v>
      </c>
      <c r="L74" s="106">
        <f>IF(F74=0,0,H74/F74)</f>
        <v>223.75</v>
      </c>
    </row>
    <row r="75" spans="1:12" x14ac:dyDescent="0.3">
      <c r="A75" s="105">
        <f>_xlfn.RANK.EQ(H75,$H$70:$H$111)</f>
        <v>6</v>
      </c>
      <c r="B75" s="105">
        <v>5</v>
      </c>
      <c r="C75" s="105">
        <v>72</v>
      </c>
      <c r="D75" s="105">
        <v>120</v>
      </c>
      <c r="E75" s="84" t="str">
        <f>B75&amp;"mm  "&amp;C75&amp;" x "&amp;D75</f>
        <v>5mm  72 x 120</v>
      </c>
      <c r="F75" s="106">
        <f>COUNTIFS([1]Sheet1!$D$3:$D$240,$B75,[1]Sheet1!$E$3:$E$240,$C75,[1]Sheet1!$F$3:$F$240,$D75)</f>
        <v>10</v>
      </c>
      <c r="G75" s="107">
        <f>IF($F$5=0,0,F75/$F$5)</f>
        <v>4.3478260869565216E-2</v>
      </c>
      <c r="H75" s="106">
        <f>SUMIFS([1]Sheet1!$G$3:$G$240,[1]Sheet1!$D$3:$D$240,$B75,[1]Sheet1!$E$3:$E$240,$C75,[1]Sheet1!$F$3:$F$240,$D75)</f>
        <v>2188</v>
      </c>
      <c r="I75" s="107">
        <f>IF($F$6=0,0,H75/$F$6)</f>
        <v>4.7657424146718648E-2</v>
      </c>
      <c r="J75" s="106">
        <f>SUMIFS([1]Sheet1!$H$3:$H$240,[1]Sheet1!$D$3:$D$240,$B75,[1]Sheet1!$E$3:$E$240,$C75,[1]Sheet1!$F$3:$F$240,$D75)</f>
        <v>510</v>
      </c>
      <c r="K75" s="107">
        <f>IF(H75=0,0,J75/H75)</f>
        <v>0.23308957952468007</v>
      </c>
      <c r="L75" s="106">
        <f>IF(F75=0,0,H75/F75)</f>
        <v>218.8</v>
      </c>
    </row>
    <row r="76" spans="1:12" x14ac:dyDescent="0.3">
      <c r="A76" s="105">
        <f>_xlfn.RANK.EQ(H76,$H$70:$H$111)</f>
        <v>7</v>
      </c>
      <c r="B76" s="105">
        <v>6</v>
      </c>
      <c r="C76" s="105">
        <v>96</v>
      </c>
      <c r="D76" s="105">
        <v>144</v>
      </c>
      <c r="E76" s="84" t="str">
        <f>B76&amp;"mm  "&amp;C76&amp;" x "&amp;D76</f>
        <v>6mm  96 x 144</v>
      </c>
      <c r="F76" s="106">
        <f>COUNTIFS([1]Sheet1!$D$3:$D$240,$B76,[1]Sheet1!$E$3:$E$240,$C76,[1]Sheet1!$F$3:$F$240,$D76)</f>
        <v>13</v>
      </c>
      <c r="G76" s="107">
        <f>IF($F$5=0,0,F76/$F$5)</f>
        <v>5.6521739130434782E-2</v>
      </c>
      <c r="H76" s="106">
        <f>SUMIFS([1]Sheet1!$G$3:$G$240,[1]Sheet1!$D$3:$D$240,$B76,[1]Sheet1!$E$3:$E$240,$C76,[1]Sheet1!$F$3:$F$240,$D76)</f>
        <v>2174</v>
      </c>
      <c r="I76" s="107">
        <f>IF($F$6=0,0,H76/$F$6)</f>
        <v>4.7352486332251531E-2</v>
      </c>
      <c r="J76" s="106">
        <f>SUMIFS([1]Sheet1!$H$3:$H$240,[1]Sheet1!$D$3:$D$240,$B76,[1]Sheet1!$E$3:$E$240,$C76,[1]Sheet1!$F$3:$F$240,$D76)</f>
        <v>415</v>
      </c>
      <c r="K76" s="107">
        <f>IF(H76=0,0,J76/H76)</f>
        <v>0.19089236430542778</v>
      </c>
      <c r="L76" s="106">
        <f>IF(F76=0,0,H76/F76)</f>
        <v>167.23076923076923</v>
      </c>
    </row>
    <row r="77" spans="1:12" x14ac:dyDescent="0.3">
      <c r="A77" s="105">
        <f>_xlfn.RANK.EQ(H77,$H$70:$H$111)</f>
        <v>8</v>
      </c>
      <c r="B77" s="105">
        <v>5</v>
      </c>
      <c r="C77" s="105">
        <v>96</v>
      </c>
      <c r="D77" s="105">
        <v>120</v>
      </c>
      <c r="E77" s="84" t="str">
        <f>B77&amp;"mm  "&amp;C77&amp;" x "&amp;D77</f>
        <v>5mm  96 x 120</v>
      </c>
      <c r="F77" s="106">
        <f>COUNTIFS([1]Sheet1!$D$3:$D$240,$B77,[1]Sheet1!$E$3:$E$240,$C77,[1]Sheet1!$F$3:$F$240,$D77)</f>
        <v>11</v>
      </c>
      <c r="G77" s="107">
        <f>IF($F$5=0,0,F77/$F$5)</f>
        <v>4.7826086956521741E-2</v>
      </c>
      <c r="H77" s="106">
        <f>SUMIFS([1]Sheet1!$G$3:$G$240,[1]Sheet1!$D$3:$D$240,$B77,[1]Sheet1!$E$3:$E$240,$C77,[1]Sheet1!$F$3:$F$240,$D77)</f>
        <v>1792</v>
      </c>
      <c r="I77" s="107">
        <f>IF($F$6=0,0,H77/$F$6)</f>
        <v>3.9032040251791508E-2</v>
      </c>
      <c r="J77" s="106">
        <f>SUMIFS([1]Sheet1!$H$3:$H$240,[1]Sheet1!$D$3:$D$240,$B77,[1]Sheet1!$E$3:$E$240,$C77,[1]Sheet1!$F$3:$F$240,$D77)</f>
        <v>247</v>
      </c>
      <c r="K77" s="107">
        <f>IF(H77=0,0,J77/H77)</f>
        <v>0.13783482142857142</v>
      </c>
      <c r="L77" s="106">
        <f>IF(F77=0,0,H77/F77)</f>
        <v>162.90909090909091</v>
      </c>
    </row>
    <row r="78" spans="1:12" x14ac:dyDescent="0.3">
      <c r="A78" s="105">
        <f>_xlfn.RANK.EQ(H78,$H$70:$H$111)</f>
        <v>9</v>
      </c>
      <c r="B78" s="105">
        <v>6</v>
      </c>
      <c r="C78" s="105">
        <v>30</v>
      </c>
      <c r="D78" s="105">
        <v>60</v>
      </c>
      <c r="E78" s="84" t="str">
        <f>B78&amp;"mm  "&amp;C78&amp;" x "&amp;D78</f>
        <v>6mm  30 x 60</v>
      </c>
      <c r="F78" s="106">
        <f>COUNTIFS([1]Sheet1!$D$3:$D$240,$B78,[1]Sheet1!$E$3:$E$240,$C78,[1]Sheet1!$F$3:$F$240,$D78)</f>
        <v>6</v>
      </c>
      <c r="G78" s="107">
        <f>IF($F$5=0,0,F78/$F$5)</f>
        <v>2.6086956521739129E-2</v>
      </c>
      <c r="H78" s="106">
        <f>SUMIFS([1]Sheet1!$G$3:$G$240,[1]Sheet1!$D$3:$D$240,$B78,[1]Sheet1!$E$3:$E$240,$C78,[1]Sheet1!$F$3:$F$240,$D78)</f>
        <v>1775</v>
      </c>
      <c r="I78" s="107">
        <f>IF($F$6=0,0,H78/$F$6)</f>
        <v>3.8661758619938577E-2</v>
      </c>
      <c r="J78" s="106">
        <f>SUMIFS([1]Sheet1!$H$3:$H$240,[1]Sheet1!$D$3:$D$240,$B78,[1]Sheet1!$E$3:$E$240,$C78,[1]Sheet1!$F$3:$F$240,$D78)</f>
        <v>90</v>
      </c>
      <c r="K78" s="107">
        <f>IF(H78=0,0,J78/H78)</f>
        <v>5.0704225352112678E-2</v>
      </c>
      <c r="L78" s="106">
        <f>IF(F78=0,0,H78/F78)</f>
        <v>295.83333333333331</v>
      </c>
    </row>
    <row r="79" spans="1:12" x14ac:dyDescent="0.3">
      <c r="A79" s="105">
        <f>_xlfn.RANK.EQ(H79,$H$70:$H$111)</f>
        <v>10</v>
      </c>
      <c r="B79" s="105">
        <v>1.1000000000000001</v>
      </c>
      <c r="C79" s="105">
        <v>43</v>
      </c>
      <c r="D79" s="105">
        <v>49</v>
      </c>
      <c r="E79" s="84" t="str">
        <f>B79&amp;"mm  "&amp;C79&amp;" x "&amp;D79</f>
        <v>1.1mm  43 x 49</v>
      </c>
      <c r="F79" s="106">
        <f>COUNTIFS([1]Sheet1!$D$3:$D$240,$B79,[1]Sheet1!$E$3:$E$240,$C79,[1]Sheet1!$F$3:$F$240,$D79)</f>
        <v>4</v>
      </c>
      <c r="G79" s="107">
        <f>IF($F$5=0,0,F79/$F$5)</f>
        <v>1.7391304347826087E-2</v>
      </c>
      <c r="H79" s="106">
        <f>SUMIFS([1]Sheet1!$G$3:$G$240,[1]Sheet1!$D$3:$D$240,$B79,[1]Sheet1!$E$3:$E$240,$C79,[1]Sheet1!$F$3:$F$240,$D79)</f>
        <v>1540</v>
      </c>
      <c r="I79" s="107">
        <f>IF($F$6=0,0,H79/$F$6)</f>
        <v>3.3543159591383327E-2</v>
      </c>
      <c r="J79" s="106">
        <f>SUMIFS([1]Sheet1!$H$3:$H$240,[1]Sheet1!$D$3:$D$240,$B79,[1]Sheet1!$E$3:$E$240,$C79,[1]Sheet1!$F$3:$F$240,$D79)</f>
        <v>175</v>
      </c>
      <c r="K79" s="107">
        <f>IF(H79=0,0,J79/H79)</f>
        <v>0.11363636363636363</v>
      </c>
      <c r="L79" s="106">
        <f>IF(F79=0,0,H79/F79)</f>
        <v>385</v>
      </c>
    </row>
    <row r="80" spans="1:12" x14ac:dyDescent="0.3">
      <c r="A80" s="105">
        <f>_xlfn.RANK.EQ(H80,$H$70:$H$111)</f>
        <v>11</v>
      </c>
      <c r="B80" s="105">
        <v>6</v>
      </c>
      <c r="C80" s="105">
        <v>72</v>
      </c>
      <c r="D80" s="105">
        <v>120</v>
      </c>
      <c r="E80" s="84" t="str">
        <f>B80&amp;"mm  "&amp;C80&amp;" x "&amp;D80</f>
        <v>6mm  72 x 120</v>
      </c>
      <c r="F80" s="106">
        <f>COUNTIFS([1]Sheet1!$D$3:$D$240,$B80,[1]Sheet1!$E$3:$E$240,$C80,[1]Sheet1!$F$3:$F$240,$D80)</f>
        <v>11</v>
      </c>
      <c r="G80" s="107">
        <f>IF($F$5=0,0,F80/$F$5)</f>
        <v>4.7826086956521741E-2</v>
      </c>
      <c r="H80" s="106">
        <f>SUMIFS([1]Sheet1!$G$3:$G$240,[1]Sheet1!$D$3:$D$240,$B80,[1]Sheet1!$E$3:$E$240,$C80,[1]Sheet1!$F$3:$F$240,$D80)</f>
        <v>1485</v>
      </c>
      <c r="I80" s="107">
        <f>IF($F$6=0,0,H80/$F$6)</f>
        <v>3.2345189605976779E-2</v>
      </c>
      <c r="J80" s="106">
        <f>SUMIFS([1]Sheet1!$H$3:$H$240,[1]Sheet1!$D$3:$D$240,$B80,[1]Sheet1!$E$3:$E$240,$C80,[1]Sheet1!$F$3:$F$240,$D80)</f>
        <v>165</v>
      </c>
      <c r="K80" s="107">
        <f>IF(H80=0,0,J80/H80)</f>
        <v>0.1111111111111111</v>
      </c>
      <c r="L80" s="106">
        <f>IF(F80=0,0,H80/F80)</f>
        <v>135</v>
      </c>
    </row>
    <row r="81" spans="1:12" x14ac:dyDescent="0.3">
      <c r="A81" s="105">
        <f>_xlfn.RANK.EQ(H81,$H$70:$H$111)</f>
        <v>12</v>
      </c>
      <c r="B81" s="105">
        <v>5</v>
      </c>
      <c r="C81" s="105">
        <v>84</v>
      </c>
      <c r="D81" s="105">
        <v>72</v>
      </c>
      <c r="E81" s="84" t="str">
        <f>B81&amp;"mm  "&amp;C81&amp;" x "&amp;D81</f>
        <v>5mm  84 x 72</v>
      </c>
      <c r="F81" s="106">
        <f>COUNTIFS([1]Sheet1!$D$3:$D$240,$B81,[1]Sheet1!$E$3:$E$240,$C81,[1]Sheet1!$F$3:$F$240,$D81)</f>
        <v>7</v>
      </c>
      <c r="G81" s="107">
        <f>IF($F$5=0,0,F81/$F$5)</f>
        <v>3.0434782608695653E-2</v>
      </c>
      <c r="H81" s="106">
        <f>SUMIFS([1]Sheet1!$G$3:$G$240,[1]Sheet1!$D$3:$D$240,$B81,[1]Sheet1!$E$3:$E$240,$C81,[1]Sheet1!$F$3:$F$240,$D81)</f>
        <v>1420</v>
      </c>
      <c r="I81" s="107">
        <f>IF($F$6=0,0,H81/$F$6)</f>
        <v>3.0929406895950862E-2</v>
      </c>
      <c r="J81" s="106">
        <f>SUMIFS([1]Sheet1!$H$3:$H$240,[1]Sheet1!$D$3:$D$240,$B81,[1]Sheet1!$E$3:$E$240,$C81,[1]Sheet1!$F$3:$F$240,$D81)</f>
        <v>130</v>
      </c>
      <c r="K81" s="107">
        <f>IF(H81=0,0,J81/H81)</f>
        <v>9.154929577464789E-2</v>
      </c>
      <c r="L81" s="106">
        <f>IF(F81=0,0,H81/F81)</f>
        <v>202.85714285714286</v>
      </c>
    </row>
    <row r="82" spans="1:12" x14ac:dyDescent="0.3">
      <c r="A82" s="105">
        <f>_xlfn.RANK.EQ(H82,$H$70:$H$111)</f>
        <v>13</v>
      </c>
      <c r="B82" s="105">
        <v>5</v>
      </c>
      <c r="C82" s="105">
        <v>84</v>
      </c>
      <c r="D82" s="105">
        <v>60</v>
      </c>
      <c r="E82" s="84" t="str">
        <f>B82&amp;"mm  "&amp;C82&amp;" x "&amp;D82</f>
        <v>5mm  84 x 60</v>
      </c>
      <c r="F82" s="106">
        <f>COUNTIFS([1]Sheet1!$D$3:$D$240,$B82,[1]Sheet1!$E$3:$E$240,$C82,[1]Sheet1!$F$3:$F$240,$D82)</f>
        <v>7</v>
      </c>
      <c r="G82" s="107">
        <f>IF($F$5=0,0,F82/$F$5)</f>
        <v>3.0434782608695653E-2</v>
      </c>
      <c r="H82" s="106">
        <f>SUMIFS([1]Sheet1!$G$3:$G$240,[1]Sheet1!$D$3:$D$240,$B82,[1]Sheet1!$E$3:$E$240,$C82,[1]Sheet1!$F$3:$F$240,$D82)</f>
        <v>1277</v>
      </c>
      <c r="I82" s="107">
        <f>IF($F$6=0,0,H82/$F$6)</f>
        <v>2.7814684933893837E-2</v>
      </c>
      <c r="J82" s="106">
        <f>SUMIFS([1]Sheet1!$H$3:$H$240,[1]Sheet1!$D$3:$D$240,$B82,[1]Sheet1!$E$3:$E$240,$C82,[1]Sheet1!$F$3:$F$240,$D82)</f>
        <v>180</v>
      </c>
      <c r="K82" s="107">
        <f>IF(H82=0,0,J82/H82)</f>
        <v>0.14095536413469067</v>
      </c>
      <c r="L82" s="106">
        <f>IF(F82=0,0,H82/F82)</f>
        <v>182.42857142857142</v>
      </c>
    </row>
    <row r="83" spans="1:12" x14ac:dyDescent="0.3">
      <c r="A83" s="105">
        <f>_xlfn.RANK.EQ(H83,$H$70:$H$111)</f>
        <v>14</v>
      </c>
      <c r="B83" s="105">
        <v>3</v>
      </c>
      <c r="C83" s="105">
        <v>48</v>
      </c>
      <c r="D83" s="105">
        <v>72</v>
      </c>
      <c r="E83" s="84" t="str">
        <f>B83&amp;"mm  "&amp;C83&amp;" x "&amp;D83</f>
        <v>3mm  48 x 72</v>
      </c>
      <c r="F83" s="106">
        <f>COUNTIFS([1]Sheet1!$D$3:$D$240,$B83,[1]Sheet1!$E$3:$E$240,$C83,[1]Sheet1!$F$3:$F$240,$D83)</f>
        <v>6</v>
      </c>
      <c r="G83" s="107">
        <f>IF($F$5=0,0,F83/$F$5)</f>
        <v>2.6086956521739129E-2</v>
      </c>
      <c r="H83" s="106">
        <f>SUMIFS([1]Sheet1!$G$3:$G$240,[1]Sheet1!$D$3:$D$240,$B83,[1]Sheet1!$E$3:$E$240,$C83,[1]Sheet1!$F$3:$F$240,$D83)</f>
        <v>1240</v>
      </c>
      <c r="I83" s="107">
        <f>IF($F$6=0,0,H83/$F$6)</f>
        <v>2.700877785280216E-2</v>
      </c>
      <c r="J83" s="106">
        <f>SUMIFS([1]Sheet1!$H$3:$H$240,[1]Sheet1!$D$3:$D$240,$B83,[1]Sheet1!$E$3:$E$240,$C83,[1]Sheet1!$F$3:$F$240,$D83)</f>
        <v>105</v>
      </c>
      <c r="K83" s="107">
        <f>IF(H83=0,0,J83/H83)</f>
        <v>8.4677419354838704E-2</v>
      </c>
      <c r="L83" s="106">
        <f>IF(F83=0,0,H83/F83)</f>
        <v>206.66666666666666</v>
      </c>
    </row>
    <row r="84" spans="1:12" x14ac:dyDescent="0.3">
      <c r="A84" s="105">
        <f>_xlfn.RANK.EQ(H84,$H$70:$H$111)</f>
        <v>15</v>
      </c>
      <c r="B84" s="105">
        <v>6</v>
      </c>
      <c r="C84" s="105">
        <v>96</v>
      </c>
      <c r="D84" s="105">
        <v>84</v>
      </c>
      <c r="E84" s="84" t="str">
        <f>B84&amp;"mm  "&amp;C84&amp;" x "&amp;D84</f>
        <v>6mm  96 x 84</v>
      </c>
      <c r="F84" s="106">
        <f>COUNTIFS([1]Sheet1!$D$3:$D$240,$B84,[1]Sheet1!$E$3:$E$240,$C84,[1]Sheet1!$F$3:$F$240,$D84)</f>
        <v>6</v>
      </c>
      <c r="G84" s="107">
        <f>IF($F$5=0,0,F84/$F$5)</f>
        <v>2.6086956521739129E-2</v>
      </c>
      <c r="H84" s="106">
        <f>SUMIFS([1]Sheet1!$G$3:$G$240,[1]Sheet1!$D$3:$D$240,$B84,[1]Sheet1!$E$3:$E$240,$C84,[1]Sheet1!$F$3:$F$240,$D84)</f>
        <v>1185</v>
      </c>
      <c r="I84" s="107">
        <f>IF($F$6=0,0,H84/$F$6)</f>
        <v>2.5810807867395612E-2</v>
      </c>
      <c r="J84" s="106">
        <f>SUMIFS([1]Sheet1!$H$3:$H$240,[1]Sheet1!$D$3:$D$240,$B84,[1]Sheet1!$E$3:$E$240,$C84,[1]Sheet1!$F$3:$F$240,$D84)</f>
        <v>150</v>
      </c>
      <c r="K84" s="107">
        <f>IF(H84=0,0,J84/H84)</f>
        <v>0.12658227848101267</v>
      </c>
      <c r="L84" s="106">
        <f>IF(F84=0,0,H84/F84)</f>
        <v>197.5</v>
      </c>
    </row>
    <row r="85" spans="1:12" x14ac:dyDescent="0.3">
      <c r="A85" s="105">
        <f>_xlfn.RANK.EQ(H85,$H$70:$H$111)</f>
        <v>16</v>
      </c>
      <c r="B85" s="105">
        <v>6</v>
      </c>
      <c r="C85" s="105">
        <v>96</v>
      </c>
      <c r="D85" s="105">
        <v>120</v>
      </c>
      <c r="E85" s="84" t="str">
        <f>B85&amp;"mm  "&amp;C85&amp;" x "&amp;D85</f>
        <v>6mm  96 x 120</v>
      </c>
      <c r="F85" s="106">
        <f>COUNTIFS([1]Sheet1!$D$3:$D$240,$B85,[1]Sheet1!$E$3:$E$240,$C85,[1]Sheet1!$F$3:$F$240,$D85)</f>
        <v>9</v>
      </c>
      <c r="G85" s="107">
        <f>IF($F$5=0,0,F85/$F$5)</f>
        <v>3.9130434782608699E-2</v>
      </c>
      <c r="H85" s="106">
        <f>SUMIFS([1]Sheet1!$G$3:$G$240,[1]Sheet1!$D$3:$D$240,$B85,[1]Sheet1!$E$3:$E$240,$C85,[1]Sheet1!$F$3:$F$240,$D85)</f>
        <v>1024</v>
      </c>
      <c r="I85" s="107">
        <f>IF($F$6=0,0,H85/$F$6)</f>
        <v>2.2304023001023719E-2</v>
      </c>
      <c r="J85" s="106">
        <f>SUMIFS([1]Sheet1!$H$3:$H$240,[1]Sheet1!$D$3:$D$240,$B85,[1]Sheet1!$E$3:$E$240,$C85,[1]Sheet1!$F$3:$F$240,$D85)</f>
        <v>206</v>
      </c>
      <c r="K85" s="107">
        <f>IF(H85=0,0,J85/H85)</f>
        <v>0.201171875</v>
      </c>
      <c r="L85" s="106">
        <f>IF(F85=0,0,H85/F85)</f>
        <v>113.77777777777777</v>
      </c>
    </row>
    <row r="86" spans="1:12" x14ac:dyDescent="0.3">
      <c r="A86" s="105">
        <f>_xlfn.RANK.EQ(H86,$H$70:$H$111)</f>
        <v>17</v>
      </c>
      <c r="B86" s="105">
        <v>5</v>
      </c>
      <c r="C86" s="105">
        <v>84</v>
      </c>
      <c r="D86" s="105">
        <v>126</v>
      </c>
      <c r="E86" s="84" t="str">
        <f>B86&amp;"mm  "&amp;C86&amp;" x "&amp;D86</f>
        <v>5mm  84 x 126</v>
      </c>
      <c r="F86" s="106">
        <f>COUNTIFS([1]Sheet1!$D$3:$D$240,$B86,[1]Sheet1!$E$3:$E$240,$C86,[1]Sheet1!$F$3:$F$240,$D86)</f>
        <v>2</v>
      </c>
      <c r="G86" s="107">
        <f>IF($F$5=0,0,F86/$F$5)</f>
        <v>8.6956521739130436E-3</v>
      </c>
      <c r="H86" s="106">
        <f>SUMIFS([1]Sheet1!$G$3:$G$240,[1]Sheet1!$D$3:$D$240,$B86,[1]Sheet1!$E$3:$E$240,$C86,[1]Sheet1!$F$3:$F$240,$D86)</f>
        <v>740</v>
      </c>
      <c r="I86" s="107">
        <f>IF($F$6=0,0,H86/$F$6)</f>
        <v>1.6118141621833549E-2</v>
      </c>
      <c r="J86" s="106">
        <f>SUMIFS([1]Sheet1!$H$3:$H$240,[1]Sheet1!$D$3:$D$240,$B86,[1]Sheet1!$E$3:$E$240,$C86,[1]Sheet1!$F$3:$F$240,$D86)</f>
        <v>135</v>
      </c>
      <c r="K86" s="107">
        <f>IF(H86=0,0,J86/H86)</f>
        <v>0.18243243243243243</v>
      </c>
      <c r="L86" s="106">
        <f>IF(F86=0,0,H86/F86)</f>
        <v>370</v>
      </c>
    </row>
    <row r="87" spans="1:12" x14ac:dyDescent="0.3">
      <c r="A87" s="105">
        <f>_xlfn.RANK.EQ(H87,$H$70:$H$111)</f>
        <v>18</v>
      </c>
      <c r="B87" s="105">
        <v>1.1000000000000001</v>
      </c>
      <c r="C87" s="105">
        <v>49</v>
      </c>
      <c r="D87" s="105">
        <v>43</v>
      </c>
      <c r="E87" s="84" t="str">
        <f>B87&amp;"mm  "&amp;C87&amp;" x "&amp;D87</f>
        <v>1.1mm  49 x 43</v>
      </c>
      <c r="F87" s="106">
        <f>COUNTIFS([1]Sheet1!$D$3:$D$240,$B87,[1]Sheet1!$E$3:$E$240,$C87,[1]Sheet1!$F$3:$F$240,$D87)</f>
        <v>1</v>
      </c>
      <c r="G87" s="107">
        <f>IF($F$5=0,0,F87/$F$5)</f>
        <v>4.3478260869565218E-3</v>
      </c>
      <c r="H87" s="106">
        <f>SUMIFS([1]Sheet1!$G$3:$G$240,[1]Sheet1!$D$3:$D$240,$B87,[1]Sheet1!$E$3:$E$240,$C87,[1]Sheet1!$F$3:$F$240,$D87)</f>
        <v>735</v>
      </c>
      <c r="I87" s="107">
        <f>IF($F$6=0,0,H87/$F$6)</f>
        <v>1.6009235259523861E-2</v>
      </c>
      <c r="J87" s="106">
        <f>SUMIFS([1]Sheet1!$H$3:$H$240,[1]Sheet1!$D$3:$D$240,$B87,[1]Sheet1!$E$3:$E$240,$C87,[1]Sheet1!$F$3:$F$240,$D87)</f>
        <v>145</v>
      </c>
      <c r="K87" s="107">
        <f>IF(H87=0,0,J87/H87)</f>
        <v>0.19727891156462585</v>
      </c>
      <c r="L87" s="106">
        <f>IF(F87=0,0,H87/F87)</f>
        <v>735</v>
      </c>
    </row>
    <row r="88" spans="1:12" x14ac:dyDescent="0.3">
      <c r="A88" s="105">
        <f>_xlfn.RANK.EQ(H88,$H$70:$H$111)</f>
        <v>19</v>
      </c>
      <c r="B88" s="105">
        <v>2</v>
      </c>
      <c r="C88" s="105">
        <v>48</v>
      </c>
      <c r="D88" s="105">
        <v>36</v>
      </c>
      <c r="E88" s="84" t="str">
        <f>B88&amp;"mm  "&amp;C88&amp;" x "&amp;D88</f>
        <v>2mm  48 x 36</v>
      </c>
      <c r="F88" s="106">
        <f>COUNTIFS([1]Sheet1!$D$3:$D$240,$B88,[1]Sheet1!$E$3:$E$240,$C88,[1]Sheet1!$F$3:$F$240,$D88)</f>
        <v>1</v>
      </c>
      <c r="G88" s="107">
        <f>IF($F$5=0,0,F88/$F$5)</f>
        <v>4.3478260869565218E-3</v>
      </c>
      <c r="H88" s="106">
        <f>SUMIFS([1]Sheet1!$G$3:$G$240,[1]Sheet1!$D$3:$D$240,$B88,[1]Sheet1!$E$3:$E$240,$C88,[1]Sheet1!$F$3:$F$240,$D88)</f>
        <v>620</v>
      </c>
      <c r="I88" s="107">
        <f>IF($F$6=0,0,H88/$F$6)</f>
        <v>1.350438892640108E-2</v>
      </c>
      <c r="J88" s="106">
        <f>SUMIFS([1]Sheet1!$H$3:$H$240,[1]Sheet1!$D$3:$D$240,$B88,[1]Sheet1!$E$3:$E$240,$C88,[1]Sheet1!$F$3:$F$240,$D88)</f>
        <v>115</v>
      </c>
      <c r="K88" s="107">
        <f>IF(H88=0,0,J88/H88)</f>
        <v>0.18548387096774194</v>
      </c>
      <c r="L88" s="106">
        <f>IF(F88=0,0,H88/F88)</f>
        <v>620</v>
      </c>
    </row>
    <row r="89" spans="1:12" x14ac:dyDescent="0.3">
      <c r="A89" s="105">
        <f>_xlfn.RANK.EQ(H89,$H$70:$H$111)</f>
        <v>20</v>
      </c>
      <c r="B89" s="105">
        <v>6</v>
      </c>
      <c r="C89" s="105">
        <v>84</v>
      </c>
      <c r="D89" s="105">
        <v>126</v>
      </c>
      <c r="E89" s="84" t="str">
        <f>B89&amp;"mm  "&amp;C89&amp;" x "&amp;D89</f>
        <v>6mm  84 x 126</v>
      </c>
      <c r="F89" s="106">
        <f>COUNTIFS([1]Sheet1!$D$3:$D$240,$B89,[1]Sheet1!$E$3:$E$240,$C89,[1]Sheet1!$F$3:$F$240,$D89)</f>
        <v>5</v>
      </c>
      <c r="G89" s="107">
        <f>IF($F$5=0,0,F89/$F$5)</f>
        <v>2.1739130434782608E-2</v>
      </c>
      <c r="H89" s="106">
        <f>SUMIFS([1]Sheet1!$G$3:$G$240,[1]Sheet1!$D$3:$D$240,$B89,[1]Sheet1!$E$3:$E$240,$C89,[1]Sheet1!$F$3:$F$240,$D89)</f>
        <v>610</v>
      </c>
      <c r="I89" s="107">
        <f>IF($F$6=0,0,H89/$F$6)</f>
        <v>1.3286576201781707E-2</v>
      </c>
      <c r="J89" s="106">
        <f>SUMIFS([1]Sheet1!$H$3:$H$240,[1]Sheet1!$D$3:$D$240,$B89,[1]Sheet1!$E$3:$E$240,$C89,[1]Sheet1!$F$3:$F$240,$D89)</f>
        <v>55</v>
      </c>
      <c r="K89" s="107">
        <f>IF(H89=0,0,J89/H89)</f>
        <v>9.0163934426229511E-2</v>
      </c>
      <c r="L89" s="106">
        <f>IF(F89=0,0,H89/F89)</f>
        <v>122</v>
      </c>
    </row>
    <row r="90" spans="1:12" x14ac:dyDescent="0.3">
      <c r="A90" s="105">
        <f>_xlfn.RANK.EQ(H90,$H$70:$H$111)</f>
        <v>21</v>
      </c>
      <c r="B90" s="105">
        <v>6</v>
      </c>
      <c r="C90" s="105">
        <v>96</v>
      </c>
      <c r="D90" s="105">
        <v>72</v>
      </c>
      <c r="E90" s="84" t="str">
        <f>B90&amp;"mm  "&amp;C90&amp;" x "&amp;D90</f>
        <v>6mm  96 x 72</v>
      </c>
      <c r="F90" s="106">
        <f>COUNTIFS([1]Sheet1!$D$3:$D$240,$B90,[1]Sheet1!$E$3:$E$240,$C90,[1]Sheet1!$F$3:$F$240,$D90)</f>
        <v>4</v>
      </c>
      <c r="G90" s="107">
        <f>IF($F$5=0,0,F90/$F$5)</f>
        <v>1.7391304347826087E-2</v>
      </c>
      <c r="H90" s="106">
        <f>SUMIFS([1]Sheet1!$G$3:$G$240,[1]Sheet1!$D$3:$D$240,$B90,[1]Sheet1!$E$3:$E$240,$C90,[1]Sheet1!$F$3:$F$240,$D90)</f>
        <v>585</v>
      </c>
      <c r="I90" s="107">
        <f>IF($F$6=0,0,H90/$F$6)</f>
        <v>1.2742044390233277E-2</v>
      </c>
      <c r="J90" s="106">
        <f>SUMIFS([1]Sheet1!$H$3:$H$240,[1]Sheet1!$D$3:$D$240,$B90,[1]Sheet1!$E$3:$E$240,$C90,[1]Sheet1!$F$3:$F$240,$D90)</f>
        <v>130</v>
      </c>
      <c r="K90" s="107">
        <f>IF(H90=0,0,J90/H90)</f>
        <v>0.22222222222222221</v>
      </c>
      <c r="L90" s="106">
        <f>IF(F90=0,0,H90/F90)</f>
        <v>146.25</v>
      </c>
    </row>
    <row r="91" spans="1:12" x14ac:dyDescent="0.3">
      <c r="A91" s="105">
        <f>_xlfn.RANK.EQ(H91,$H$70:$H$111)</f>
        <v>22</v>
      </c>
      <c r="B91" s="105">
        <v>5</v>
      </c>
      <c r="C91" s="105">
        <v>84</v>
      </c>
      <c r="D91" s="105">
        <v>130</v>
      </c>
      <c r="E91" s="84" t="str">
        <f>B91&amp;"mm  "&amp;C91&amp;" x "&amp;D91</f>
        <v>5mm  84 x 130</v>
      </c>
      <c r="F91" s="106">
        <f>COUNTIFS([1]Sheet1!$D$3:$D$240,$B91,[1]Sheet1!$E$3:$E$240,$C91,[1]Sheet1!$F$3:$F$240,$D91)</f>
        <v>2</v>
      </c>
      <c r="G91" s="107">
        <f>IF($F$5=0,0,F91/$F$5)</f>
        <v>8.6956521739130436E-3</v>
      </c>
      <c r="H91" s="106">
        <f>SUMIFS([1]Sheet1!$G$3:$G$240,[1]Sheet1!$D$3:$D$240,$B91,[1]Sheet1!$E$3:$E$240,$C91,[1]Sheet1!$F$3:$F$240,$D91)</f>
        <v>545</v>
      </c>
      <c r="I91" s="107">
        <f>IF($F$6=0,0,H91/$F$6)</f>
        <v>1.1870793491755788E-2</v>
      </c>
      <c r="J91" s="106">
        <f>SUMIFS([1]Sheet1!$H$3:$H$240,[1]Sheet1!$D$3:$D$240,$B91,[1]Sheet1!$E$3:$E$240,$C91,[1]Sheet1!$F$3:$F$240,$D91)</f>
        <v>95</v>
      </c>
      <c r="K91" s="107">
        <f>IF(H91=0,0,J91/H91)</f>
        <v>0.1743119266055046</v>
      </c>
      <c r="L91" s="106">
        <f>IF(F91=0,0,H91/F91)</f>
        <v>272.5</v>
      </c>
    </row>
    <row r="92" spans="1:12" x14ac:dyDescent="0.3">
      <c r="A92" s="105">
        <f>_xlfn.RANK.EQ(H92,$H$70:$H$111)</f>
        <v>23</v>
      </c>
      <c r="B92" s="105">
        <v>6</v>
      </c>
      <c r="C92" s="105">
        <v>84</v>
      </c>
      <c r="D92" s="105">
        <v>72</v>
      </c>
      <c r="E92" s="84" t="str">
        <f>B92&amp;"mm  "&amp;C92&amp;" x "&amp;D92</f>
        <v>6mm  84 x 72</v>
      </c>
      <c r="F92" s="106">
        <f>COUNTIFS([1]Sheet1!$D$3:$D$240,$B92,[1]Sheet1!$E$3:$E$240,$C92,[1]Sheet1!$F$3:$F$240,$D92)</f>
        <v>5</v>
      </c>
      <c r="G92" s="107">
        <f>IF($F$5=0,0,F92/$F$5)</f>
        <v>2.1739130434782608E-2</v>
      </c>
      <c r="H92" s="106">
        <f>SUMIFS([1]Sheet1!$G$3:$G$240,[1]Sheet1!$D$3:$D$240,$B92,[1]Sheet1!$E$3:$E$240,$C92,[1]Sheet1!$F$3:$F$240,$D92)</f>
        <v>540</v>
      </c>
      <c r="I92" s="107">
        <f>IF($F$6=0,0,H92/$F$6)</f>
        <v>1.1761887129446102E-2</v>
      </c>
      <c r="J92" s="106">
        <f>SUMIFS([1]Sheet1!$H$3:$H$240,[1]Sheet1!$D$3:$D$240,$B92,[1]Sheet1!$E$3:$E$240,$C92,[1]Sheet1!$F$3:$F$240,$D92)</f>
        <v>55</v>
      </c>
      <c r="K92" s="107">
        <f>IF(H92=0,0,J92/H92)</f>
        <v>0.10185185185185185</v>
      </c>
      <c r="L92" s="106">
        <f>IF(F92=0,0,H92/F92)</f>
        <v>108</v>
      </c>
    </row>
    <row r="93" spans="1:12" x14ac:dyDescent="0.3">
      <c r="A93" s="105">
        <f>_xlfn.RANK.EQ(H93,$H$70:$H$111)</f>
        <v>24</v>
      </c>
      <c r="B93" s="105">
        <v>2</v>
      </c>
      <c r="C93" s="105">
        <v>30</v>
      </c>
      <c r="D93" s="105">
        <v>50</v>
      </c>
      <c r="E93" s="84" t="str">
        <f>B93&amp;"mm  "&amp;C93&amp;" x "&amp;D93</f>
        <v>2mm  30 x 50</v>
      </c>
      <c r="F93" s="106">
        <f>COUNTIFS([1]Sheet1!$D$3:$D$240,$B93,[1]Sheet1!$E$3:$E$240,$C93,[1]Sheet1!$F$3:$F$240,$D93)</f>
        <v>4</v>
      </c>
      <c r="G93" s="107">
        <f>IF($F$5=0,0,F93/$F$5)</f>
        <v>1.7391304347826087E-2</v>
      </c>
      <c r="H93" s="106">
        <f>SUMIFS([1]Sheet1!$G$3:$G$240,[1]Sheet1!$D$3:$D$240,$B93,[1]Sheet1!$E$3:$E$240,$C93,[1]Sheet1!$F$3:$F$240,$D93)</f>
        <v>370</v>
      </c>
      <c r="I93" s="107">
        <f>IF($F$6=0,0,H93/$F$6)</f>
        <v>8.0590708109167745E-3</v>
      </c>
      <c r="J93" s="106">
        <f>SUMIFS([1]Sheet1!$H$3:$H$240,[1]Sheet1!$D$3:$D$240,$B93,[1]Sheet1!$E$3:$E$240,$C93,[1]Sheet1!$F$3:$F$240,$D93)</f>
        <v>35</v>
      </c>
      <c r="K93" s="107">
        <f>IF(H93=0,0,J93/H93)</f>
        <v>9.45945945945946E-2</v>
      </c>
      <c r="L93" s="106">
        <f>IF(F93=0,0,H93/F93)</f>
        <v>92.5</v>
      </c>
    </row>
    <row r="94" spans="1:12" x14ac:dyDescent="0.3">
      <c r="A94" s="105">
        <f>_xlfn.RANK.EQ(H94,$H$70:$H$111)</f>
        <v>25</v>
      </c>
      <c r="B94" s="105">
        <v>6</v>
      </c>
      <c r="C94" s="105">
        <v>96</v>
      </c>
      <c r="D94" s="105">
        <v>130</v>
      </c>
      <c r="E94" s="84" t="str">
        <f>B94&amp;"mm  "&amp;C94&amp;" x "&amp;D94</f>
        <v>6mm  96 x 130</v>
      </c>
      <c r="F94" s="106">
        <f>COUNTIFS([1]Sheet1!$D$3:$D$240,$B94,[1]Sheet1!$E$3:$E$240,$C94,[1]Sheet1!$F$3:$F$240,$D94)</f>
        <v>1</v>
      </c>
      <c r="G94" s="107">
        <f>IF($F$5=0,0,F94/$F$5)</f>
        <v>4.3478260869565218E-3</v>
      </c>
      <c r="H94" s="106">
        <f>SUMIFS([1]Sheet1!$G$3:$G$240,[1]Sheet1!$D$3:$D$240,$B94,[1]Sheet1!$E$3:$E$240,$C94,[1]Sheet1!$F$3:$F$240,$D94)</f>
        <v>325</v>
      </c>
      <c r="I94" s="107">
        <f>IF($F$6=0,0,H94/$F$6)</f>
        <v>7.0789135501295982E-3</v>
      </c>
      <c r="J94" s="106">
        <f>SUMIFS([1]Sheet1!$H$3:$H$240,[1]Sheet1!$D$3:$D$240,$B94,[1]Sheet1!$E$3:$E$240,$C94,[1]Sheet1!$F$3:$F$240,$D94)</f>
        <v>205</v>
      </c>
      <c r="K94" s="107">
        <f>IF(H94=0,0,J94/H94)</f>
        <v>0.63076923076923075</v>
      </c>
      <c r="L94" s="106">
        <f>IF(F94=0,0,H94/F94)</f>
        <v>325</v>
      </c>
    </row>
    <row r="95" spans="1:12" x14ac:dyDescent="0.3">
      <c r="A95" s="105">
        <f>_xlfn.RANK.EQ(H95,$H$70:$H$111)</f>
        <v>26</v>
      </c>
      <c r="B95" s="105">
        <v>6</v>
      </c>
      <c r="C95" s="105">
        <v>96</v>
      </c>
      <c r="D95" s="105">
        <v>100</v>
      </c>
      <c r="E95" s="84" t="str">
        <f>B95&amp;"mm  "&amp;C95&amp;" x "&amp;D95</f>
        <v>6mm  96 x 100</v>
      </c>
      <c r="F95" s="106">
        <f>COUNTIFS([1]Sheet1!$D$3:$D$240,$B95,[1]Sheet1!$E$3:$E$240,$C95,[1]Sheet1!$F$3:$F$240,$D95)</f>
        <v>1</v>
      </c>
      <c r="G95" s="107">
        <f>IF($F$5=0,0,F95/$F$5)</f>
        <v>4.3478260869565218E-3</v>
      </c>
      <c r="H95" s="106">
        <f>SUMIFS([1]Sheet1!$G$3:$G$240,[1]Sheet1!$D$3:$D$240,$B95,[1]Sheet1!$E$3:$E$240,$C95,[1]Sheet1!$F$3:$F$240,$D95)</f>
        <v>320</v>
      </c>
      <c r="I95" s="107">
        <f>IF($F$6=0,0,H95/$F$6)</f>
        <v>6.9700071878199127E-3</v>
      </c>
      <c r="J95" s="106">
        <f>SUMIFS([1]Sheet1!$H$3:$H$240,[1]Sheet1!$D$3:$D$240,$B95,[1]Sheet1!$E$3:$E$240,$C95,[1]Sheet1!$F$3:$F$240,$D95)</f>
        <v>135</v>
      </c>
      <c r="K95" s="107">
        <f>IF(H95=0,0,J95/H95)</f>
        <v>0.421875</v>
      </c>
      <c r="L95" s="106">
        <f>IF(F95=0,0,H95/F95)</f>
        <v>320</v>
      </c>
    </row>
    <row r="96" spans="1:12" x14ac:dyDescent="0.3">
      <c r="A96" s="105">
        <f>_xlfn.RANK.EQ(H96,$H$70:$H$111)</f>
        <v>27</v>
      </c>
      <c r="B96" s="105">
        <v>3</v>
      </c>
      <c r="C96" s="105">
        <v>42</v>
      </c>
      <c r="D96" s="105">
        <v>72</v>
      </c>
      <c r="E96" s="84" t="str">
        <f>B96&amp;"mm  "&amp;C96&amp;" x "&amp;D96</f>
        <v>3mm  42 x 72</v>
      </c>
      <c r="F96" s="106">
        <f>COUNTIFS([1]Sheet1!$D$3:$D$240,$B96,[1]Sheet1!$E$3:$E$240,$C96,[1]Sheet1!$F$3:$F$240,$D96)</f>
        <v>1</v>
      </c>
      <c r="G96" s="107">
        <f>IF($F$5=0,0,F96/$F$5)</f>
        <v>4.3478260869565218E-3</v>
      </c>
      <c r="H96" s="106">
        <f>SUMIFS([1]Sheet1!$G$3:$G$240,[1]Sheet1!$D$3:$D$240,$B96,[1]Sheet1!$E$3:$E$240,$C96,[1]Sheet1!$F$3:$F$240,$D96)</f>
        <v>310</v>
      </c>
      <c r="I96" s="107">
        <f>IF($F$6=0,0,H96/$F$6)</f>
        <v>6.75219446320054E-3</v>
      </c>
      <c r="J96" s="106">
        <f>SUMIFS([1]Sheet1!$H$3:$H$240,[1]Sheet1!$D$3:$D$240,$B96,[1]Sheet1!$E$3:$E$240,$C96,[1]Sheet1!$F$3:$F$240,$D96)</f>
        <v>10</v>
      </c>
      <c r="K96" s="107">
        <f>IF(H96=0,0,J96/H96)</f>
        <v>3.2258064516129031E-2</v>
      </c>
      <c r="L96" s="106">
        <f>IF(F96=0,0,H96/F96)</f>
        <v>310</v>
      </c>
    </row>
    <row r="97" spans="1:12" x14ac:dyDescent="0.3">
      <c r="A97" s="105">
        <f>_xlfn.RANK.EQ(H97,$H$70:$H$111)</f>
        <v>28</v>
      </c>
      <c r="B97" s="105">
        <v>6</v>
      </c>
      <c r="C97" s="105">
        <v>96</v>
      </c>
      <c r="D97" s="105">
        <v>60</v>
      </c>
      <c r="E97" s="84" t="str">
        <f>B97&amp;"mm  "&amp;C97&amp;" x "&amp;D97</f>
        <v>6mm  96 x 60</v>
      </c>
      <c r="F97" s="106">
        <f>COUNTIFS([1]Sheet1!$D$3:$D$240,$B97,[1]Sheet1!$E$3:$E$240,$C97,[1]Sheet1!$F$3:$F$240,$D97)</f>
        <v>2</v>
      </c>
      <c r="G97" s="107">
        <f>IF($F$5=0,0,F97/$F$5)</f>
        <v>8.6956521739130436E-3</v>
      </c>
      <c r="H97" s="106">
        <f>SUMIFS([1]Sheet1!$G$3:$G$240,[1]Sheet1!$D$3:$D$240,$B97,[1]Sheet1!$E$3:$E$240,$C97,[1]Sheet1!$F$3:$F$240,$D97)</f>
        <v>290</v>
      </c>
      <c r="I97" s="107">
        <f>IF($F$6=0,0,H97/$F$6)</f>
        <v>6.3165690139617954E-3</v>
      </c>
      <c r="J97" s="106">
        <f>SUMIFS([1]Sheet1!$H$3:$H$240,[1]Sheet1!$D$3:$D$240,$B97,[1]Sheet1!$E$3:$E$240,$C97,[1]Sheet1!$F$3:$F$240,$D97)</f>
        <v>15</v>
      </c>
      <c r="K97" s="107">
        <f>IF(H97=0,0,J97/H97)</f>
        <v>5.1724137931034482E-2</v>
      </c>
      <c r="L97" s="106">
        <f>IF(F97=0,0,H97/F97)</f>
        <v>145</v>
      </c>
    </row>
    <row r="98" spans="1:12" x14ac:dyDescent="0.3">
      <c r="A98" s="105">
        <f>_xlfn.RANK.EQ(H98,$H$70:$H$111)</f>
        <v>29</v>
      </c>
      <c r="B98" s="105">
        <v>6</v>
      </c>
      <c r="C98" s="105">
        <v>30</v>
      </c>
      <c r="D98" s="105">
        <v>54.5</v>
      </c>
      <c r="E98" s="84" t="str">
        <f>B98&amp;"mm  "&amp;C98&amp;" x "&amp;D98</f>
        <v>6mm  30 x 54.5</v>
      </c>
      <c r="F98" s="106">
        <f>COUNTIFS([1]Sheet1!$D$3:$D$240,$B98,[1]Sheet1!$E$3:$E$240,$C98,[1]Sheet1!$F$3:$F$240,$D98)</f>
        <v>1</v>
      </c>
      <c r="G98" s="107">
        <f>IF($F$5=0,0,F98/$F$5)</f>
        <v>4.3478260869565218E-3</v>
      </c>
      <c r="H98" s="106">
        <f>SUMIFS([1]Sheet1!$G$3:$G$240,[1]Sheet1!$D$3:$D$240,$B98,[1]Sheet1!$E$3:$E$240,$C98,[1]Sheet1!$F$3:$F$240,$D98)</f>
        <v>210</v>
      </c>
      <c r="I98" s="107">
        <f>IF($F$6=0,0,H98/$F$6)</f>
        <v>4.5740672170068173E-3</v>
      </c>
      <c r="J98" s="106">
        <f>SUMIFS([1]Sheet1!$H$3:$H$240,[1]Sheet1!$D$3:$D$240,$B98,[1]Sheet1!$E$3:$E$240,$C98,[1]Sheet1!$F$3:$F$240,$D98)</f>
        <v>15</v>
      </c>
      <c r="K98" s="107">
        <f>IF(H98=0,0,J98/H98)</f>
        <v>7.1428571428571425E-2</v>
      </c>
      <c r="L98" s="106">
        <f>IF(F98=0,0,H98/F98)</f>
        <v>210</v>
      </c>
    </row>
    <row r="99" spans="1:12" x14ac:dyDescent="0.3">
      <c r="A99" s="105">
        <f>_xlfn.RANK.EQ(H99,$H$70:$H$111)</f>
        <v>30</v>
      </c>
      <c r="B99" s="105">
        <v>3</v>
      </c>
      <c r="C99" s="105">
        <v>36</v>
      </c>
      <c r="D99" s="105">
        <v>60</v>
      </c>
      <c r="E99" s="84" t="str">
        <f>B99&amp;"mm  "&amp;C99&amp;" x "&amp;D99</f>
        <v>3mm  36 x 60</v>
      </c>
      <c r="F99" s="106">
        <f>COUNTIFS([1]Sheet1!$D$3:$D$240,$B99,[1]Sheet1!$E$3:$E$240,$C99,[1]Sheet1!$F$3:$F$240,$D99)</f>
        <v>2</v>
      </c>
      <c r="G99" s="107">
        <f>IF($F$5=0,0,F99/$F$5)</f>
        <v>8.6956521739130436E-3</v>
      </c>
      <c r="H99" s="106">
        <f>SUMIFS([1]Sheet1!$G$3:$G$240,[1]Sheet1!$D$3:$D$240,$B99,[1]Sheet1!$E$3:$E$240,$C99,[1]Sheet1!$F$3:$F$240,$D99)</f>
        <v>185</v>
      </c>
      <c r="I99" s="107">
        <f>IF($F$6=0,0,H99/$F$6)</f>
        <v>4.0295354054583872E-3</v>
      </c>
      <c r="J99" s="106">
        <f>SUMIFS([1]Sheet1!$H$3:$H$240,[1]Sheet1!$D$3:$D$240,$B99,[1]Sheet1!$E$3:$E$240,$C99,[1]Sheet1!$F$3:$F$240,$D99)</f>
        <v>30</v>
      </c>
      <c r="K99" s="107">
        <f>IF(H99=0,0,J99/H99)</f>
        <v>0.16216216216216217</v>
      </c>
      <c r="L99" s="106">
        <f>IF(F99=0,0,H99/F99)</f>
        <v>92.5</v>
      </c>
    </row>
    <row r="100" spans="1:12" x14ac:dyDescent="0.3">
      <c r="A100" s="105">
        <f>_xlfn.RANK.EQ(H100,$H$70:$H$111)</f>
        <v>30</v>
      </c>
      <c r="B100" s="105">
        <v>3</v>
      </c>
      <c r="C100" s="105">
        <v>48</v>
      </c>
      <c r="D100" s="105">
        <v>60</v>
      </c>
      <c r="E100" s="84" t="str">
        <f>B100&amp;"mm  "&amp;C100&amp;" x "&amp;D100</f>
        <v>3mm  48 x 60</v>
      </c>
      <c r="F100" s="106">
        <f>COUNTIFS([1]Sheet1!$D$3:$D$240,$B100,[1]Sheet1!$E$3:$E$240,$C100,[1]Sheet1!$F$3:$F$240,$D100)</f>
        <v>1</v>
      </c>
      <c r="G100" s="107">
        <f>IF($F$5=0,0,F100/$F$5)</f>
        <v>4.3478260869565218E-3</v>
      </c>
      <c r="H100" s="106">
        <f>SUMIFS([1]Sheet1!$G$3:$G$240,[1]Sheet1!$D$3:$D$240,$B100,[1]Sheet1!$E$3:$E$240,$C100,[1]Sheet1!$F$3:$F$240,$D100)</f>
        <v>185</v>
      </c>
      <c r="I100" s="107">
        <f>IF($F$6=0,0,H100/$F$6)</f>
        <v>4.0295354054583872E-3</v>
      </c>
      <c r="J100" s="106">
        <f>SUMIFS([1]Sheet1!$H$3:$H$240,[1]Sheet1!$D$3:$D$240,$B100,[1]Sheet1!$E$3:$E$240,$C100,[1]Sheet1!$F$3:$F$240,$D100)</f>
        <v>50</v>
      </c>
      <c r="K100" s="107">
        <f>IF(H100=0,0,J100/H100)</f>
        <v>0.27027027027027029</v>
      </c>
      <c r="L100" s="106">
        <f>IF(F100=0,0,H100/F100)</f>
        <v>185</v>
      </c>
    </row>
    <row r="101" spans="1:12" x14ac:dyDescent="0.3">
      <c r="A101" s="105">
        <f>_xlfn.RANK.EQ(H101,$H$70:$H$111)</f>
        <v>32</v>
      </c>
      <c r="B101" s="105">
        <v>5</v>
      </c>
      <c r="C101" s="105">
        <v>84</v>
      </c>
      <c r="D101" s="105">
        <v>84</v>
      </c>
      <c r="E101" s="84" t="str">
        <f>B101&amp;"mm  "&amp;C101&amp;" x "&amp;D101</f>
        <v>5mm  84 x 84</v>
      </c>
      <c r="F101" s="106">
        <f>COUNTIFS([1]Sheet1!$D$3:$D$240,$B101,[1]Sheet1!$E$3:$E$240,$C101,[1]Sheet1!$F$3:$F$240,$D101)</f>
        <v>2</v>
      </c>
      <c r="G101" s="107">
        <f>IF($F$5=0,0,F101/$F$5)</f>
        <v>8.6956521739130436E-3</v>
      </c>
      <c r="H101" s="106">
        <f>SUMIFS([1]Sheet1!$G$3:$G$240,[1]Sheet1!$D$3:$D$240,$B101,[1]Sheet1!$E$3:$E$240,$C101,[1]Sheet1!$F$3:$F$240,$D101)</f>
        <v>160</v>
      </c>
      <c r="I101" s="107">
        <f>IF($F$6=0,0,H101/$F$6)</f>
        <v>3.4850035939099563E-3</v>
      </c>
      <c r="J101" s="106">
        <f>SUMIFS([1]Sheet1!$H$3:$H$240,[1]Sheet1!$D$3:$D$240,$B101,[1]Sheet1!$E$3:$E$240,$C101,[1]Sheet1!$F$3:$F$240,$D101)</f>
        <v>25</v>
      </c>
      <c r="K101" s="107">
        <f>IF(H101=0,0,J101/H101)</f>
        <v>0.15625</v>
      </c>
      <c r="L101" s="106">
        <f>IF(F101=0,0,H101/F101)</f>
        <v>80</v>
      </c>
    </row>
    <row r="102" spans="1:12" x14ac:dyDescent="0.3">
      <c r="A102" s="105">
        <f>_xlfn.RANK.EQ(H102,$H$70:$H$111)</f>
        <v>32</v>
      </c>
      <c r="B102" s="105">
        <v>6</v>
      </c>
      <c r="C102" s="105">
        <v>60</v>
      </c>
      <c r="D102" s="105">
        <v>120</v>
      </c>
      <c r="E102" s="84" t="str">
        <f>B102&amp;"mm  "&amp;C102&amp;" x "&amp;D102</f>
        <v>6mm  60 x 120</v>
      </c>
      <c r="F102" s="106">
        <f>COUNTIFS([1]Sheet1!$D$3:$D$240,$B102,[1]Sheet1!$E$3:$E$240,$C102,[1]Sheet1!$F$3:$F$240,$D102)</f>
        <v>2</v>
      </c>
      <c r="G102" s="107">
        <f>IF($F$5=0,0,F102/$F$5)</f>
        <v>8.6956521739130436E-3</v>
      </c>
      <c r="H102" s="106">
        <f>SUMIFS([1]Sheet1!$G$3:$G$240,[1]Sheet1!$D$3:$D$240,$B102,[1]Sheet1!$E$3:$E$240,$C102,[1]Sheet1!$F$3:$F$240,$D102)</f>
        <v>160</v>
      </c>
      <c r="I102" s="107">
        <f>IF($F$6=0,0,H102/$F$6)</f>
        <v>3.4850035939099563E-3</v>
      </c>
      <c r="J102" s="106">
        <f>SUMIFS([1]Sheet1!$H$3:$H$240,[1]Sheet1!$D$3:$D$240,$B102,[1]Sheet1!$E$3:$E$240,$C102,[1]Sheet1!$F$3:$F$240,$D102)</f>
        <v>20</v>
      </c>
      <c r="K102" s="107">
        <f>IF(H102=0,0,J102/H102)</f>
        <v>0.125</v>
      </c>
      <c r="L102" s="106">
        <f>IF(F102=0,0,H102/F102)</f>
        <v>80</v>
      </c>
    </row>
    <row r="103" spans="1:12" x14ac:dyDescent="0.3">
      <c r="A103" s="105">
        <f>_xlfn.RANK.EQ(H103,$H$70:$H$111)</f>
        <v>34</v>
      </c>
      <c r="B103" s="105">
        <v>6</v>
      </c>
      <c r="C103" s="105">
        <v>60</v>
      </c>
      <c r="D103" s="105">
        <v>100</v>
      </c>
      <c r="E103" s="84" t="str">
        <f>B103&amp;"mm  "&amp;C103&amp;" x "&amp;D103</f>
        <v>6mm  60 x 100</v>
      </c>
      <c r="F103" s="106">
        <f>COUNTIFS([1]Sheet1!$D$3:$D$240,$B103,[1]Sheet1!$E$3:$E$240,$C103,[1]Sheet1!$F$3:$F$240,$D103)</f>
        <v>1</v>
      </c>
      <c r="G103" s="107">
        <f>IF($F$5=0,0,F103/$F$5)</f>
        <v>4.3478260869565218E-3</v>
      </c>
      <c r="H103" s="106">
        <f>SUMIFS([1]Sheet1!$G$3:$G$240,[1]Sheet1!$D$3:$D$240,$B103,[1]Sheet1!$E$3:$E$240,$C103,[1]Sheet1!$F$3:$F$240,$D103)</f>
        <v>155</v>
      </c>
      <c r="I103" s="107">
        <f>IF($F$6=0,0,H103/$F$6)</f>
        <v>3.37609723160027E-3</v>
      </c>
      <c r="J103" s="106">
        <f>SUMIFS([1]Sheet1!$H$3:$H$240,[1]Sheet1!$D$3:$D$240,$B103,[1]Sheet1!$E$3:$E$240,$C103,[1]Sheet1!$F$3:$F$240,$D103)</f>
        <v>15</v>
      </c>
      <c r="K103" s="107">
        <f>IF(H103=0,0,J103/H103)</f>
        <v>9.6774193548387094E-2</v>
      </c>
      <c r="L103" s="106">
        <f>IF(F103=0,0,H103/F103)</f>
        <v>155</v>
      </c>
    </row>
    <row r="104" spans="1:12" x14ac:dyDescent="0.3">
      <c r="A104" s="105">
        <f>_xlfn.RANK.EQ(H104,$H$70:$H$111)</f>
        <v>35</v>
      </c>
      <c r="B104" s="105">
        <v>6</v>
      </c>
      <c r="C104" s="105">
        <v>72</v>
      </c>
      <c r="D104" s="105">
        <v>100</v>
      </c>
      <c r="E104" s="84" t="str">
        <f>B104&amp;"mm  "&amp;C104&amp;" x "&amp;D104</f>
        <v>6mm  72 x 100</v>
      </c>
      <c r="F104" s="106">
        <f>COUNTIFS([1]Sheet1!$D$3:$D$240,$B104,[1]Sheet1!$E$3:$E$240,$C104,[1]Sheet1!$F$3:$F$240,$D104)</f>
        <v>1</v>
      </c>
      <c r="G104" s="107">
        <f>IF($F$5=0,0,F104/$F$5)</f>
        <v>4.3478260869565218E-3</v>
      </c>
      <c r="H104" s="106">
        <f>SUMIFS([1]Sheet1!$G$3:$G$240,[1]Sheet1!$D$3:$D$240,$B104,[1]Sheet1!$E$3:$E$240,$C104,[1]Sheet1!$F$3:$F$240,$D104)</f>
        <v>150</v>
      </c>
      <c r="I104" s="107">
        <f>IF($F$6=0,0,H104/$F$6)</f>
        <v>3.2671908692905841E-3</v>
      </c>
      <c r="J104" s="106">
        <f>SUMIFS([1]Sheet1!$H$3:$H$240,[1]Sheet1!$D$3:$D$240,$B104,[1]Sheet1!$E$3:$E$240,$C104,[1]Sheet1!$F$3:$F$240,$D104)</f>
        <v>20</v>
      </c>
      <c r="K104" s="107">
        <f>IF(H104=0,0,J104/H104)</f>
        <v>0.13333333333333333</v>
      </c>
      <c r="L104" s="106">
        <f>IF(F104=0,0,H104/F104)</f>
        <v>150</v>
      </c>
    </row>
    <row r="105" spans="1:12" x14ac:dyDescent="0.3">
      <c r="A105" s="105">
        <f>_xlfn.RANK.EQ(H105,$H$70:$H$111)</f>
        <v>35</v>
      </c>
      <c r="B105" s="105">
        <v>3</v>
      </c>
      <c r="C105" s="105">
        <v>30</v>
      </c>
      <c r="D105" s="105">
        <v>60</v>
      </c>
      <c r="E105" s="84" t="str">
        <f>B105&amp;"mm  "&amp;C105&amp;" x "&amp;D105</f>
        <v>3mm  30 x 60</v>
      </c>
      <c r="F105" s="106">
        <f>COUNTIFS([1]Sheet1!$D$3:$D$240,$B105,[1]Sheet1!$E$3:$E$240,$C105,[1]Sheet1!$F$3:$F$240,$D105)</f>
        <v>1</v>
      </c>
      <c r="G105" s="107">
        <f>IF($F$5=0,0,F105/$F$5)</f>
        <v>4.3478260869565218E-3</v>
      </c>
      <c r="H105" s="106">
        <f>SUMIFS([1]Sheet1!$G$3:$G$240,[1]Sheet1!$D$3:$D$240,$B105,[1]Sheet1!$E$3:$E$240,$C105,[1]Sheet1!$F$3:$F$240,$D105)</f>
        <v>150</v>
      </c>
      <c r="I105" s="107">
        <f>IF($F$6=0,0,H105/$F$6)</f>
        <v>3.2671908692905841E-3</v>
      </c>
      <c r="J105" s="106">
        <f>SUMIFS([1]Sheet1!$H$3:$H$240,[1]Sheet1!$D$3:$D$240,$B105,[1]Sheet1!$E$3:$E$240,$C105,[1]Sheet1!$F$3:$F$240,$D105)</f>
        <v>30</v>
      </c>
      <c r="K105" s="107">
        <f>IF(H105=0,0,J105/H105)</f>
        <v>0.2</v>
      </c>
      <c r="L105" s="106">
        <f>IF(F105=0,0,H105/F105)</f>
        <v>150</v>
      </c>
    </row>
    <row r="106" spans="1:12" x14ac:dyDescent="0.3">
      <c r="A106" s="105">
        <f>_xlfn.RANK.EQ(H106,$H$70:$H$111)</f>
        <v>37</v>
      </c>
      <c r="B106" s="105">
        <v>3</v>
      </c>
      <c r="C106" s="105">
        <v>36</v>
      </c>
      <c r="D106" s="105">
        <v>72</v>
      </c>
      <c r="E106" s="84" t="str">
        <f>B106&amp;"mm  "&amp;C106&amp;" x "&amp;D106</f>
        <v>3mm  36 x 72</v>
      </c>
      <c r="F106" s="106">
        <f>COUNTIFS([1]Sheet1!$D$3:$D$240,$B106,[1]Sheet1!$E$3:$E$240,$C106,[1]Sheet1!$F$3:$F$240,$D106)</f>
        <v>1</v>
      </c>
      <c r="G106" s="107">
        <f>IF($F$5=0,0,F106/$F$5)</f>
        <v>4.3478260869565218E-3</v>
      </c>
      <c r="H106" s="106">
        <f>SUMIFS([1]Sheet1!$G$3:$G$240,[1]Sheet1!$D$3:$D$240,$B106,[1]Sheet1!$E$3:$E$240,$C106,[1]Sheet1!$F$3:$F$240,$D106)</f>
        <v>115</v>
      </c>
      <c r="I106" s="107">
        <f>IF($F$6=0,0,H106/$F$6)</f>
        <v>2.5048463331227809E-3</v>
      </c>
      <c r="J106" s="106">
        <f>SUMIFS([1]Sheet1!$H$3:$H$240,[1]Sheet1!$D$3:$D$240,$B106,[1]Sheet1!$E$3:$E$240,$C106,[1]Sheet1!$F$3:$F$240,$D106)</f>
        <v>5</v>
      </c>
      <c r="K106" s="107">
        <f>IF(H106=0,0,J106/H106)</f>
        <v>4.3478260869565216E-2</v>
      </c>
      <c r="L106" s="106">
        <f>IF(F106=0,0,H106/F106)</f>
        <v>115</v>
      </c>
    </row>
    <row r="107" spans="1:12" x14ac:dyDescent="0.3">
      <c r="A107" s="105">
        <f>_xlfn.RANK.EQ(H107,$H$70:$H$111)</f>
        <v>38</v>
      </c>
      <c r="B107" s="105">
        <v>4</v>
      </c>
      <c r="C107" s="105">
        <v>96</v>
      </c>
      <c r="D107" s="105">
        <v>72</v>
      </c>
      <c r="E107" s="84" t="str">
        <f>B107&amp;"mm  "&amp;C107&amp;" x "&amp;D107</f>
        <v>4mm  96 x 72</v>
      </c>
      <c r="F107" s="106">
        <f>COUNTIFS([1]Sheet1!$D$3:$D$240,$B107,[1]Sheet1!$E$3:$E$240,$C107,[1]Sheet1!$F$3:$F$240,$D107)</f>
        <v>1</v>
      </c>
      <c r="G107" s="107">
        <f>IF($F$5=0,0,F107/$F$5)</f>
        <v>4.3478260869565218E-3</v>
      </c>
      <c r="H107" s="106">
        <f>SUMIFS([1]Sheet1!$G$3:$G$240,[1]Sheet1!$D$3:$D$240,$B107,[1]Sheet1!$E$3:$E$240,$C107,[1]Sheet1!$F$3:$F$240,$D107)</f>
        <v>105</v>
      </c>
      <c r="I107" s="107">
        <f>IF($F$6=0,0,H107/$F$6)</f>
        <v>2.2870336085034086E-3</v>
      </c>
      <c r="J107" s="106">
        <f>SUMIFS([1]Sheet1!$H$3:$H$240,[1]Sheet1!$D$3:$D$240,$B107,[1]Sheet1!$E$3:$E$240,$C107,[1]Sheet1!$F$3:$F$240,$D107)</f>
        <v>20</v>
      </c>
      <c r="K107" s="107">
        <f>IF(H107=0,0,J107/H107)</f>
        <v>0.19047619047619047</v>
      </c>
      <c r="L107" s="106">
        <f>IF(F107=0,0,H107/F107)</f>
        <v>105</v>
      </c>
    </row>
    <row r="108" spans="1:12" x14ac:dyDescent="0.3">
      <c r="A108" s="105">
        <f>_xlfn.RANK.EQ(H108,$H$70:$H$111)</f>
        <v>39</v>
      </c>
      <c r="B108" s="105">
        <v>2</v>
      </c>
      <c r="C108" s="105">
        <v>40</v>
      </c>
      <c r="D108" s="105">
        <v>56</v>
      </c>
      <c r="E108" s="84" t="str">
        <f>B108&amp;"mm  "&amp;C108&amp;" x "&amp;D108</f>
        <v>2mm  40 x 56</v>
      </c>
      <c r="F108" s="106">
        <f>COUNTIFS([1]Sheet1!$D$3:$D$240,$B108,[1]Sheet1!$E$3:$E$240,$C108,[1]Sheet1!$F$3:$F$240,$D108)</f>
        <v>1</v>
      </c>
      <c r="G108" s="107">
        <f>IF($F$5=0,0,F108/$F$5)</f>
        <v>4.3478260869565218E-3</v>
      </c>
      <c r="H108" s="106">
        <f>SUMIFS([1]Sheet1!$G$3:$G$240,[1]Sheet1!$D$3:$D$240,$B108,[1]Sheet1!$E$3:$E$240,$C108,[1]Sheet1!$F$3:$F$240,$D108)</f>
        <v>55</v>
      </c>
      <c r="I108" s="107">
        <f>IF($F$6=0,0,H108/$F$6)</f>
        <v>1.1979699854065475E-3</v>
      </c>
      <c r="J108" s="106">
        <f>SUMIFS([1]Sheet1!$H$3:$H$240,[1]Sheet1!$D$3:$D$240,$B108,[1]Sheet1!$E$3:$E$240,$C108,[1]Sheet1!$F$3:$F$240,$D108)</f>
        <v>15</v>
      </c>
      <c r="K108" s="107">
        <f>IF(H108=0,0,J108/H108)</f>
        <v>0.27272727272727271</v>
      </c>
      <c r="L108" s="106">
        <f>IF(F108=0,0,H108/F108)</f>
        <v>55</v>
      </c>
    </row>
    <row r="109" spans="1:12" x14ac:dyDescent="0.3">
      <c r="A109" s="105">
        <f>_xlfn.RANK.EQ(H109,$H$70:$H$111)</f>
        <v>40</v>
      </c>
      <c r="B109" s="105">
        <v>2</v>
      </c>
      <c r="C109" s="105">
        <v>30</v>
      </c>
      <c r="D109" s="105">
        <v>40</v>
      </c>
      <c r="E109" s="84" t="str">
        <f>B109&amp;"mm  "&amp;C109&amp;" x "&amp;D109</f>
        <v>2mm  30 x 40</v>
      </c>
      <c r="F109" s="106">
        <f>COUNTIFS([1]Sheet1!$D$3:$D$240,$B109,[1]Sheet1!$E$3:$E$240,$C109,[1]Sheet1!$F$3:$F$240,$D109)</f>
        <v>1</v>
      </c>
      <c r="G109" s="107">
        <f>IF($F$5=0,0,F109/$F$5)</f>
        <v>4.3478260869565218E-3</v>
      </c>
      <c r="H109" s="106">
        <f>SUMIFS([1]Sheet1!$G$3:$G$240,[1]Sheet1!$D$3:$D$240,$B109,[1]Sheet1!$E$3:$E$240,$C109,[1]Sheet1!$F$3:$F$240,$D109)</f>
        <v>40</v>
      </c>
      <c r="I109" s="107">
        <f>IF($F$6=0,0,H109/$F$6)</f>
        <v>8.7125089847748909E-4</v>
      </c>
      <c r="J109" s="106">
        <f>SUMIFS([1]Sheet1!$H$3:$H$240,[1]Sheet1!$D$3:$D$240,$B109,[1]Sheet1!$E$3:$E$240,$C109,[1]Sheet1!$F$3:$F$240,$D109)</f>
        <v>15</v>
      </c>
      <c r="K109" s="107">
        <f>IF(H109=0,0,J109/H109)</f>
        <v>0.375</v>
      </c>
      <c r="L109" s="106">
        <f>IF(F109=0,0,H109/F109)</f>
        <v>40</v>
      </c>
    </row>
    <row r="110" spans="1:12" x14ac:dyDescent="0.3">
      <c r="A110" s="105">
        <f>_xlfn.RANK.EQ(H110,$H$70:$H$111)</f>
        <v>40</v>
      </c>
      <c r="B110" s="105">
        <v>2</v>
      </c>
      <c r="C110" s="105">
        <v>48</v>
      </c>
      <c r="D110" s="105">
        <v>32</v>
      </c>
      <c r="E110" s="84" t="str">
        <f>B110&amp;"mm  "&amp;C110&amp;" x "&amp;D110</f>
        <v>2mm  48 x 32</v>
      </c>
      <c r="F110" s="106">
        <f>COUNTIFS([1]Sheet1!$D$3:$D$240,$B110,[1]Sheet1!$E$3:$E$240,$C110,[1]Sheet1!$F$3:$F$240,$D110)</f>
        <v>1</v>
      </c>
      <c r="G110" s="107">
        <f>IF($F$5=0,0,F110/$F$5)</f>
        <v>4.3478260869565218E-3</v>
      </c>
      <c r="H110" s="106">
        <f>SUMIFS([1]Sheet1!$G$3:$G$240,[1]Sheet1!$D$3:$D$240,$B110,[1]Sheet1!$E$3:$E$240,$C110,[1]Sheet1!$F$3:$F$240,$D110)</f>
        <v>40</v>
      </c>
      <c r="I110" s="107">
        <f>IF($F$6=0,0,H110/$F$6)</f>
        <v>8.7125089847748909E-4</v>
      </c>
      <c r="J110" s="106">
        <f>SUMIFS([1]Sheet1!$H$3:$H$240,[1]Sheet1!$D$3:$D$240,$B110,[1]Sheet1!$E$3:$E$240,$C110,[1]Sheet1!$F$3:$F$240,$D110)</f>
        <v>15</v>
      </c>
      <c r="K110" s="107">
        <f>IF(H110=0,0,J110/H110)</f>
        <v>0.375</v>
      </c>
      <c r="L110" s="106">
        <f>IF(F110=0,0,H110/F110)</f>
        <v>40</v>
      </c>
    </row>
    <row r="111" spans="1:12" x14ac:dyDescent="0.3">
      <c r="A111" s="105">
        <f>_xlfn.RANK.EQ(H111,$H$70:$H$111)</f>
        <v>42</v>
      </c>
      <c r="B111" s="105">
        <v>5</v>
      </c>
      <c r="C111" s="105">
        <v>60</v>
      </c>
      <c r="D111" s="105">
        <v>120</v>
      </c>
      <c r="E111" s="84" t="str">
        <f>B111&amp;"mm  "&amp;C111&amp;" x "&amp;D111</f>
        <v>5mm  60 x 120</v>
      </c>
      <c r="F111" s="106">
        <f>COUNTIFS([1]Sheet1!$D$3:$D$240,$B111,[1]Sheet1!$E$3:$E$240,$C111,[1]Sheet1!$F$3:$F$240,$D111)</f>
        <v>1</v>
      </c>
      <c r="G111" s="107">
        <f>IF($F$5=0,0,F111/$F$5)</f>
        <v>4.3478260869565218E-3</v>
      </c>
      <c r="H111" s="106">
        <f>SUMIFS([1]Sheet1!$G$3:$G$240,[1]Sheet1!$D$3:$D$240,$B111,[1]Sheet1!$E$3:$E$240,$C111,[1]Sheet1!$F$3:$F$240,$D111)</f>
        <v>30</v>
      </c>
      <c r="I111" s="107">
        <f>IF($F$6=0,0,H111/$F$6)</f>
        <v>6.5343817385811681E-4</v>
      </c>
      <c r="J111" s="106">
        <f>SUMIFS([1]Sheet1!$H$3:$H$240,[1]Sheet1!$D$3:$D$240,$B111,[1]Sheet1!$E$3:$E$240,$C111,[1]Sheet1!$F$3:$F$240,$D111)</f>
        <v>15</v>
      </c>
      <c r="K111" s="107">
        <f>IF(H111=0,0,J111/H111)</f>
        <v>0.5</v>
      </c>
      <c r="L111" s="106">
        <f>IF(F111=0,0,H111/F111)</f>
        <v>30</v>
      </c>
    </row>
    <row r="112" spans="1:12" ht="15" thickBot="1" x14ac:dyDescent="0.35">
      <c r="A112" s="108" t="s">
        <v>94</v>
      </c>
      <c r="B112" s="108"/>
      <c r="C112" s="108"/>
      <c r="D112" s="108"/>
      <c r="E112" s="109"/>
      <c r="F112" s="110">
        <f>SUM(F70:F111)</f>
        <v>230</v>
      </c>
      <c r="G112" s="111">
        <f>SUM(G70:G111)</f>
        <v>0.99999999999999911</v>
      </c>
      <c r="H112" s="110">
        <f>SUM(H70:H111)</f>
        <v>45911</v>
      </c>
      <c r="I112" s="111">
        <f>SUM(I70:I111)</f>
        <v>1.0000000000000002</v>
      </c>
      <c r="J112" s="110">
        <f>SUM(J70:J111)</f>
        <v>6794</v>
      </c>
      <c r="K112" s="111">
        <f>IF(H112=0,0,J112/H112)</f>
        <v>0.14798196510640152</v>
      </c>
      <c r="L112" s="110">
        <f>IF(F112=0,0,H112/F112)</f>
        <v>199.61304347826086</v>
      </c>
    </row>
    <row r="113" spans="1:12" ht="15" thickTop="1" x14ac:dyDescent="0.3"/>
    <row r="114" spans="1:12" x14ac:dyDescent="0.3">
      <c r="A114" s="86" t="s">
        <v>99</v>
      </c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</row>
    <row r="115" spans="1:12" ht="28.05" customHeight="1" x14ac:dyDescent="0.3">
      <c r="A115" s="89" t="s">
        <v>86</v>
      </c>
      <c r="B115" s="89" t="s">
        <v>100</v>
      </c>
      <c r="C115" s="89"/>
      <c r="D115" s="89"/>
      <c r="E115" s="89" t="s">
        <v>100</v>
      </c>
      <c r="F115" s="89" t="s">
        <v>67</v>
      </c>
      <c r="G115" s="89" t="s">
        <v>91</v>
      </c>
      <c r="H115" s="89" t="s">
        <v>68</v>
      </c>
      <c r="I115" s="89" t="s">
        <v>69</v>
      </c>
      <c r="J115" s="89" t="s">
        <v>92</v>
      </c>
      <c r="K115" s="89" t="s">
        <v>70</v>
      </c>
      <c r="L115" s="89" t="s">
        <v>93</v>
      </c>
    </row>
    <row r="116" spans="1:12" x14ac:dyDescent="0.3">
      <c r="A116" s="105">
        <f>_xlfn.RANK.EQ(H116,$H$116:$H$119)</f>
        <v>1</v>
      </c>
      <c r="B116" s="105" t="s">
        <v>89</v>
      </c>
      <c r="C116" s="105"/>
      <c r="D116" s="105"/>
      <c r="E116" s="84" t="str">
        <f>B116</f>
        <v>D</v>
      </c>
      <c r="F116" s="106">
        <f>COUNTIFS([1]Sheet1!$B$3:$B$240,$B116)</f>
        <v>186</v>
      </c>
      <c r="G116" s="107">
        <f>IF($F$5=0,0,F116/$F$5)</f>
        <v>0.80869565217391304</v>
      </c>
      <c r="H116" s="106">
        <f>SUMIFS([1]Sheet1!$G$3:$G$240,[1]Sheet1!$B$3:$B$240,$B116)</f>
        <v>34196</v>
      </c>
      <c r="I116" s="107">
        <f>IF($F$6=0,0,H116/$F$6)</f>
        <v>0.74483239310840543</v>
      </c>
      <c r="J116" s="106">
        <f>SUMIFS([1]Sheet1!$H$3:$H$240,[1]Sheet1!$B$3:$B$240,$B116)</f>
        <v>5589</v>
      </c>
      <c r="K116" s="107">
        <f>IF(H116=0,0,J116/H116)</f>
        <v>0.16344016844075329</v>
      </c>
      <c r="L116" s="106">
        <f>IF(F116=0,0,H116/F116)</f>
        <v>183.84946236559139</v>
      </c>
    </row>
    <row r="117" spans="1:12" x14ac:dyDescent="0.3">
      <c r="A117" s="105">
        <f>_xlfn.RANK.EQ(H117,$H$116:$H$119)</f>
        <v>2</v>
      </c>
      <c r="B117" s="105" t="s">
        <v>101</v>
      </c>
      <c r="C117" s="105"/>
      <c r="D117" s="105"/>
      <c r="E117" s="84" t="str">
        <f>B117</f>
        <v>T</v>
      </c>
      <c r="F117" s="106">
        <f>COUNTIFS([1]Sheet1!$B$3:$B$240,$B117)</f>
        <v>32</v>
      </c>
      <c r="G117" s="107">
        <f>IF($F$5=0,0,F117/$F$5)</f>
        <v>0.1391304347826087</v>
      </c>
      <c r="H117" s="106">
        <f>SUMIFS([1]Sheet1!$G$3:$G$240,[1]Sheet1!$B$3:$B$240,$B117)</f>
        <v>7455</v>
      </c>
      <c r="I117" s="107">
        <f>IF($F$6=0,0,H117/$F$6)</f>
        <v>0.16237938620374201</v>
      </c>
      <c r="J117" s="106">
        <f>SUMIFS([1]Sheet1!$H$3:$H$240,[1]Sheet1!$B$3:$B$240,$B117)</f>
        <v>780</v>
      </c>
      <c r="K117" s="107">
        <f>IF(H117=0,0,J117/H117)</f>
        <v>0.10462776659959759</v>
      </c>
      <c r="L117" s="106">
        <f>IF(F117=0,0,H117/F117)</f>
        <v>232.96875</v>
      </c>
    </row>
    <row r="118" spans="1:12" x14ac:dyDescent="0.3">
      <c r="A118" s="105">
        <f>_xlfn.RANK.EQ(H118,$H$116:$H$119)</f>
        <v>3</v>
      </c>
      <c r="B118" s="105" t="s">
        <v>102</v>
      </c>
      <c r="C118" s="105"/>
      <c r="D118" s="105"/>
      <c r="E118" s="84" t="str">
        <f>B118</f>
        <v>C</v>
      </c>
      <c r="F118" s="106">
        <f>COUNTIFS([1]Sheet1!$B$3:$B$240,$B118)</f>
        <v>5</v>
      </c>
      <c r="G118" s="107">
        <f>IF($F$5=0,0,F118/$F$5)</f>
        <v>2.1739130434782608E-2</v>
      </c>
      <c r="H118" s="106">
        <f>SUMIFS([1]Sheet1!$G$3:$G$240,[1]Sheet1!$B$3:$B$240,$B118)</f>
        <v>2275</v>
      </c>
      <c r="I118" s="107">
        <f>IF($F$6=0,0,H118/$F$6)</f>
        <v>4.9552394850907192E-2</v>
      </c>
      <c r="J118" s="106">
        <f>SUMIFS([1]Sheet1!$H$3:$H$240,[1]Sheet1!$B$3:$B$240,$B118)</f>
        <v>320</v>
      </c>
      <c r="K118" s="107">
        <f>IF(H118=0,0,J118/H118)</f>
        <v>0.14065934065934066</v>
      </c>
      <c r="L118" s="106">
        <f>IF(F118=0,0,H118/F118)</f>
        <v>455</v>
      </c>
    </row>
    <row r="119" spans="1:12" x14ac:dyDescent="0.3">
      <c r="A119" s="105">
        <f>_xlfn.RANK.EQ(H119,$H$116:$H$119)</f>
        <v>4</v>
      </c>
      <c r="B119" s="105" t="s">
        <v>103</v>
      </c>
      <c r="C119" s="105"/>
      <c r="D119" s="105"/>
      <c r="E119" s="84" t="str">
        <f>B119</f>
        <v>M</v>
      </c>
      <c r="F119" s="106">
        <f>COUNTIFS([1]Sheet1!$B$3:$B$240,$B119)</f>
        <v>7</v>
      </c>
      <c r="G119" s="107">
        <f>IF($F$5=0,0,F119/$F$5)</f>
        <v>3.0434782608695653E-2</v>
      </c>
      <c r="H119" s="106">
        <f>SUMIFS([1]Sheet1!$G$3:$G$240,[1]Sheet1!$B$3:$B$240,$B119)</f>
        <v>1985</v>
      </c>
      <c r="I119" s="107">
        <f>IF($F$6=0,0,H119/$F$6)</f>
        <v>4.3235825836945393E-2</v>
      </c>
      <c r="J119" s="106">
        <f>SUMIFS([1]Sheet1!$H$3:$H$240,[1]Sheet1!$B$3:$B$240,$B119)</f>
        <v>105</v>
      </c>
      <c r="K119" s="107">
        <f>IF(H119=0,0,J119/H119)</f>
        <v>5.2896725440806043E-2</v>
      </c>
      <c r="L119" s="106">
        <f>IF(F119=0,0,H119/F119)</f>
        <v>283.57142857142856</v>
      </c>
    </row>
    <row r="120" spans="1:12" ht="15" thickBot="1" x14ac:dyDescent="0.35">
      <c r="A120" s="108" t="s">
        <v>94</v>
      </c>
      <c r="B120" s="108"/>
      <c r="C120" s="108"/>
      <c r="D120" s="108"/>
      <c r="E120" s="109"/>
      <c r="F120" s="110">
        <f>SUM(F116:F119)</f>
        <v>230</v>
      </c>
      <c r="G120" s="111">
        <f>SUM(G116:G119)</f>
        <v>1</v>
      </c>
      <c r="H120" s="110">
        <f>SUM(H116:H119)</f>
        <v>45911</v>
      </c>
      <c r="I120" s="111">
        <f>SUM(I116:I119)</f>
        <v>1</v>
      </c>
      <c r="J120" s="110">
        <f>SUM(J116:J119)</f>
        <v>6794</v>
      </c>
      <c r="K120" s="111">
        <f>IF(H120=0,0,J120/H120)</f>
        <v>0.14798196510640152</v>
      </c>
      <c r="L120" s="110">
        <f>IF(F120=0,0,H120/F120)</f>
        <v>199.61304347826086</v>
      </c>
    </row>
    <row r="121" spans="1:12" ht="15" thickTop="1" x14ac:dyDescent="0.3"/>
    <row r="122" spans="1:12" x14ac:dyDescent="0.3">
      <c r="A122" s="86" t="s">
        <v>104</v>
      </c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</row>
    <row r="123" spans="1:12" ht="28.05" customHeight="1" x14ac:dyDescent="0.3">
      <c r="A123" s="89" t="s">
        <v>86</v>
      </c>
      <c r="B123" s="89" t="s">
        <v>105</v>
      </c>
      <c r="C123" s="89"/>
      <c r="D123" s="89"/>
      <c r="E123" s="89" t="s">
        <v>105</v>
      </c>
      <c r="F123" s="89" t="s">
        <v>67</v>
      </c>
      <c r="G123" s="89" t="s">
        <v>91</v>
      </c>
      <c r="H123" s="89" t="s">
        <v>68</v>
      </c>
      <c r="I123" s="89" t="s">
        <v>69</v>
      </c>
      <c r="J123" s="89" t="s">
        <v>92</v>
      </c>
      <c r="K123" s="89" t="s">
        <v>70</v>
      </c>
      <c r="L123" s="89" t="s">
        <v>93</v>
      </c>
    </row>
    <row r="124" spans="1:12" x14ac:dyDescent="0.3">
      <c r="A124" s="105">
        <f>_xlfn.RANK.EQ(H124,$H$124:$H$127)</f>
        <v>1</v>
      </c>
      <c r="B124" s="105" t="s">
        <v>106</v>
      </c>
      <c r="C124" s="105"/>
      <c r="D124" s="105"/>
      <c r="E124" s="84" t="str">
        <f>B124</f>
        <v>Clear</v>
      </c>
      <c r="F124" s="106">
        <f>COUNTIFS([1]Sheet1!$C$3:$C$240,$B124)</f>
        <v>198</v>
      </c>
      <c r="G124" s="107">
        <f>IF($F$5=0,0,F124/$F$5)</f>
        <v>0.86086956521739133</v>
      </c>
      <c r="H124" s="106">
        <f>SUMIFS([1]Sheet1!$G$3:$G$240,[1]Sheet1!$C$3:$C$240,$B124)</f>
        <v>38456</v>
      </c>
      <c r="I124" s="107">
        <f>IF($F$6=0,0,H124/$F$6)</f>
        <v>0.83762061379625796</v>
      </c>
      <c r="J124" s="106">
        <f>SUMIFS([1]Sheet1!$H$3:$H$240,[1]Sheet1!$C$3:$C$240,$B124)</f>
        <v>6014</v>
      </c>
      <c r="K124" s="107">
        <f>IF(H124=0,0,J124/H124)</f>
        <v>0.15638651965883088</v>
      </c>
      <c r="L124" s="106">
        <f>IF(F124=0,0,H124/F124)</f>
        <v>194.22222222222223</v>
      </c>
    </row>
    <row r="125" spans="1:12" x14ac:dyDescent="0.3">
      <c r="A125" s="105">
        <f>_xlfn.RANK.EQ(H125,$H$124:$H$127)</f>
        <v>2</v>
      </c>
      <c r="B125" s="105" t="s">
        <v>107</v>
      </c>
      <c r="C125" s="105"/>
      <c r="D125" s="105"/>
      <c r="E125" s="84" t="str">
        <f>B125</f>
        <v>Bronze</v>
      </c>
      <c r="F125" s="106">
        <f>COUNTIFS([1]Sheet1!$C$3:$C$240,$B125)</f>
        <v>14</v>
      </c>
      <c r="G125" s="107">
        <f>IF($F$5=0,0,F125/$F$5)</f>
        <v>6.0869565217391307E-2</v>
      </c>
      <c r="H125" s="106">
        <f>SUMIFS([1]Sheet1!$G$3:$G$240,[1]Sheet1!$C$3:$C$240,$B125)</f>
        <v>4225</v>
      </c>
      <c r="I125" s="107">
        <f>IF($F$6=0,0,H125/$F$6)</f>
        <v>9.2025876151684782E-2</v>
      </c>
      <c r="J125" s="106">
        <f>SUMIFS([1]Sheet1!$H$3:$H$240,[1]Sheet1!$C$3:$C$240,$B125)</f>
        <v>390</v>
      </c>
      <c r="K125" s="107">
        <f>IF(H125=0,0,J125/H125)</f>
        <v>9.2307692307692313E-2</v>
      </c>
      <c r="L125" s="106">
        <f>IF(F125=0,0,H125/F125)</f>
        <v>301.78571428571428</v>
      </c>
    </row>
    <row r="126" spans="1:12" x14ac:dyDescent="0.3">
      <c r="A126" s="105">
        <f>_xlfn.RANK.EQ(H126,$H$124:$H$127)</f>
        <v>3</v>
      </c>
      <c r="B126" s="105" t="s">
        <v>108</v>
      </c>
      <c r="C126" s="105"/>
      <c r="D126" s="105"/>
      <c r="E126" s="84" t="str">
        <f>B126</f>
        <v>Dark</v>
      </c>
      <c r="F126" s="106">
        <f>COUNTIFS([1]Sheet1!$C$3:$C$240,$B126)</f>
        <v>11</v>
      </c>
      <c r="G126" s="107">
        <f>IF($F$5=0,0,F126/$F$5)</f>
        <v>4.7826086956521741E-2</v>
      </c>
      <c r="H126" s="106">
        <f>SUMIFS([1]Sheet1!$G$3:$G$240,[1]Sheet1!$C$3:$C$240,$B126)</f>
        <v>1880</v>
      </c>
      <c r="I126" s="107">
        <f>IF($F$6=0,0,H126/$F$6)</f>
        <v>4.0948792228441985E-2</v>
      </c>
      <c r="J126" s="106">
        <f>SUMIFS([1]Sheet1!$H$3:$H$240,[1]Sheet1!$C$3:$C$240,$B126)</f>
        <v>200</v>
      </c>
      <c r="K126" s="107">
        <f>IF(H126=0,0,J126/H126)</f>
        <v>0.10638297872340426</v>
      </c>
      <c r="L126" s="106">
        <f>IF(F126=0,0,H126/F126)</f>
        <v>170.90909090909091</v>
      </c>
    </row>
    <row r="127" spans="1:12" x14ac:dyDescent="0.3">
      <c r="A127" s="105">
        <f>_xlfn.RANK.EQ(H127,$H$124:$H$127)</f>
        <v>4</v>
      </c>
      <c r="B127" s="105" t="s">
        <v>109</v>
      </c>
      <c r="C127" s="105"/>
      <c r="D127" s="105"/>
      <c r="E127" s="84" t="str">
        <f>B127</f>
        <v>Grey</v>
      </c>
      <c r="F127" s="106">
        <f>COUNTIFS([1]Sheet1!$C$3:$C$240,$B127)</f>
        <v>7</v>
      </c>
      <c r="G127" s="107">
        <f>IF($F$5=0,0,F127/$F$5)</f>
        <v>3.0434782608695653E-2</v>
      </c>
      <c r="H127" s="106">
        <f>SUMIFS([1]Sheet1!$G$3:$G$240,[1]Sheet1!$C$3:$C$240,$B127)</f>
        <v>1350</v>
      </c>
      <c r="I127" s="107">
        <f>IF($F$6=0,0,H127/$F$6)</f>
        <v>2.9404717823615256E-2</v>
      </c>
      <c r="J127" s="106">
        <f>SUMIFS([1]Sheet1!$H$3:$H$240,[1]Sheet1!$C$3:$C$240,$B127)</f>
        <v>190</v>
      </c>
      <c r="K127" s="107">
        <f>IF(H127=0,0,J127/H127)</f>
        <v>0.14074074074074075</v>
      </c>
      <c r="L127" s="106">
        <f>IF(F127=0,0,H127/F127)</f>
        <v>192.85714285714286</v>
      </c>
    </row>
    <row r="128" spans="1:12" ht="15" thickBot="1" x14ac:dyDescent="0.35">
      <c r="A128" s="108" t="s">
        <v>94</v>
      </c>
      <c r="B128" s="108"/>
      <c r="C128" s="108"/>
      <c r="D128" s="108"/>
      <c r="E128" s="109"/>
      <c r="F128" s="110">
        <f>SUM(F124:F127)</f>
        <v>230</v>
      </c>
      <c r="G128" s="111">
        <f>SUM(G124:G127)</f>
        <v>1</v>
      </c>
      <c r="H128" s="110">
        <f>SUM(H124:H127)</f>
        <v>45911</v>
      </c>
      <c r="I128" s="111">
        <f>SUM(I124:I127)</f>
        <v>1</v>
      </c>
      <c r="J128" s="110">
        <f>SUM(J124:J127)</f>
        <v>6794</v>
      </c>
      <c r="K128" s="111">
        <f>IF(H128=0,0,J128/H128)</f>
        <v>0.14798196510640152</v>
      </c>
      <c r="L128" s="110">
        <f>IF(F128=0,0,H128/F128)</f>
        <v>199.61304347826086</v>
      </c>
    </row>
    <row r="129" ht="15" thickTop="1" x14ac:dyDescent="0.3"/>
  </sheetData>
  <conditionalFormatting sqref="H25:H30">
    <cfRule type="top10" dxfId="9" priority="1" rank="1"/>
  </conditionalFormatting>
  <conditionalFormatting sqref="H25:H30">
    <cfRule type="top10" dxfId="8" priority="2" bottom="1" rank="1"/>
  </conditionalFormatting>
  <conditionalFormatting sqref="K25:K3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{01C04E40-16F3-4C2D-BD9B-9723667063C3}</x14:id>
        </ext>
      </extLst>
    </cfRule>
  </conditionalFormatting>
  <conditionalFormatting sqref="H35:H65">
    <cfRule type="top10" dxfId="7" priority="4" rank="1"/>
  </conditionalFormatting>
  <conditionalFormatting sqref="H35:H65">
    <cfRule type="top10" dxfId="6" priority="5" bottom="1" rank="1"/>
  </conditionalFormatting>
  <conditionalFormatting sqref="K35:K6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{AC05C3E2-9B5E-413F-AD39-D77F3C7EF9A6}</x14:id>
        </ext>
      </extLst>
    </cfRule>
  </conditionalFormatting>
  <conditionalFormatting sqref="H70:H111">
    <cfRule type="top10" dxfId="5" priority="7" rank="1"/>
  </conditionalFormatting>
  <conditionalFormatting sqref="H70:H111">
    <cfRule type="top10" dxfId="4" priority="8" bottom="1" rank="1"/>
  </conditionalFormatting>
  <conditionalFormatting sqref="K70:K11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{BC367366-347D-4F93-A7A4-70C099CE3743}</x14:id>
        </ext>
      </extLst>
    </cfRule>
  </conditionalFormatting>
  <conditionalFormatting sqref="H116:H119">
    <cfRule type="top10" dxfId="3" priority="10" rank="1"/>
  </conditionalFormatting>
  <conditionalFormatting sqref="H116:H119">
    <cfRule type="top10" dxfId="2" priority="11" bottom="1" rank="1"/>
  </conditionalFormatting>
  <conditionalFormatting sqref="K116:K11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{0C193462-1CFA-4577-A983-BC42A25C97B3}</x14:id>
        </ext>
      </extLst>
    </cfRule>
  </conditionalFormatting>
  <conditionalFormatting sqref="H124:H127">
    <cfRule type="top10" dxfId="1" priority="13" rank="1"/>
  </conditionalFormatting>
  <conditionalFormatting sqref="H124:H127">
    <cfRule type="top10" dxfId="0" priority="14" bottom="1" rank="1"/>
  </conditionalFormatting>
  <conditionalFormatting sqref="K124:K12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{E68B8748-B27D-48F1-978A-1A31D2E825D7}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C04E40-16F3-4C2D-BD9B-9723667063C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K25:K30</xm:sqref>
        </x14:conditionalFormatting>
        <x14:conditionalFormatting xmlns:xm="http://schemas.microsoft.com/office/excel/2006/main">
          <x14:cfRule type="dataBar" id="{AC05C3E2-9B5E-413F-AD39-D77F3C7EF9A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K35:K65</xm:sqref>
        </x14:conditionalFormatting>
        <x14:conditionalFormatting xmlns:xm="http://schemas.microsoft.com/office/excel/2006/main">
          <x14:cfRule type="dataBar" id="{BC367366-347D-4F93-A7A4-70C099CE374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K70:K111</xm:sqref>
        </x14:conditionalFormatting>
        <x14:conditionalFormatting xmlns:xm="http://schemas.microsoft.com/office/excel/2006/main">
          <x14:cfRule type="dataBar" id="{0C193462-1CFA-4577-A983-BC42A25C97B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K116:K119</xm:sqref>
        </x14:conditionalFormatting>
        <x14:conditionalFormatting xmlns:xm="http://schemas.microsoft.com/office/excel/2006/main">
          <x14:cfRule type="dataBar" id="{E68B8748-B27D-48F1-978A-1A31D2E825D7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K124:K127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AD41-FE1F-4494-BBA3-CCC55A4FCC6B}">
  <dimension ref="A1:V78"/>
  <sheetViews>
    <sheetView zoomScale="85" zoomScaleNormal="85" workbookViewId="0">
      <selection activeCell="U24" sqref="U24"/>
    </sheetView>
  </sheetViews>
  <sheetFormatPr defaultRowHeight="14.4" x14ac:dyDescent="0.3"/>
  <cols>
    <col min="2" max="17" width="8.6640625" customWidth="1"/>
  </cols>
  <sheetData>
    <row r="1" spans="1:22" ht="14.4" customHeight="1" x14ac:dyDescent="0.3">
      <c r="A1" s="64"/>
      <c r="B1" s="72" t="s">
        <v>41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4"/>
      <c r="R1" s="64"/>
    </row>
    <row r="2" spans="1:22" ht="15" customHeight="1" thickBot="1" x14ac:dyDescent="0.35"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7"/>
      <c r="R2" s="64"/>
      <c r="S2">
        <v>10.54</v>
      </c>
      <c r="T2">
        <v>96</v>
      </c>
    </row>
    <row r="3" spans="1:22" ht="15" thickBo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>
        <f>(T3*S2)/T2</f>
        <v>5.27</v>
      </c>
      <c r="T3">
        <v>48</v>
      </c>
    </row>
    <row r="4" spans="1:22" x14ac:dyDescent="0.3">
      <c r="A4" s="64"/>
      <c r="B4" s="65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7"/>
      <c r="R4" s="64"/>
      <c r="S4">
        <f>(T4*S2)/T2</f>
        <v>0.21958333333333332</v>
      </c>
      <c r="T4">
        <v>2</v>
      </c>
    </row>
    <row r="5" spans="1:22" x14ac:dyDescent="0.3">
      <c r="A5" s="64"/>
      <c r="B5" s="68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9"/>
      <c r="R5" s="64"/>
      <c r="S5">
        <f>(T5*S2)/T2</f>
        <v>4.6112499999999992</v>
      </c>
      <c r="T5">
        <v>42</v>
      </c>
    </row>
    <row r="6" spans="1:22" x14ac:dyDescent="0.3">
      <c r="A6" s="64"/>
      <c r="B6" s="68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9"/>
      <c r="R6" s="64"/>
      <c r="S6">
        <f>(T6*S2)/T2</f>
        <v>4.7210416666666664</v>
      </c>
      <c r="T6">
        <v>43</v>
      </c>
    </row>
    <row r="7" spans="1:22" x14ac:dyDescent="0.3">
      <c r="A7" s="64"/>
      <c r="B7" s="68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9"/>
      <c r="R7" s="64"/>
      <c r="S7">
        <f>(T7*S2)/T2</f>
        <v>3.9524999999999992</v>
      </c>
      <c r="T7">
        <v>36</v>
      </c>
    </row>
    <row r="8" spans="1:22" x14ac:dyDescent="0.3">
      <c r="A8" s="64"/>
      <c r="B8" s="68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9"/>
      <c r="R8" s="64"/>
      <c r="S8">
        <f>(T8*S2)/T2</f>
        <v>3.2937499999999997</v>
      </c>
      <c r="T8">
        <v>30</v>
      </c>
    </row>
    <row r="9" spans="1:22" x14ac:dyDescent="0.3">
      <c r="A9" s="64"/>
      <c r="B9" s="68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9"/>
      <c r="R9" s="64"/>
      <c r="S9">
        <f>(T9*S2)/T2</f>
        <v>5.7091666666666656</v>
      </c>
      <c r="T9">
        <v>52</v>
      </c>
      <c r="U9" t="s">
        <v>42</v>
      </c>
    </row>
    <row r="10" spans="1:22" x14ac:dyDescent="0.3">
      <c r="A10" s="64"/>
      <c r="B10" s="68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9"/>
      <c r="R10" s="64"/>
      <c r="S10">
        <f>T10*S2/T2</f>
        <v>7.4658333333333324</v>
      </c>
      <c r="T10">
        <v>68</v>
      </c>
    </row>
    <row r="11" spans="1:22" x14ac:dyDescent="0.3">
      <c r="A11" s="64"/>
      <c r="B11" s="68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9"/>
      <c r="R11" s="64"/>
      <c r="S11">
        <f>T11*S2/T2</f>
        <v>9.0029166666666658</v>
      </c>
      <c r="T11">
        <v>82</v>
      </c>
      <c r="U11" t="s">
        <v>43</v>
      </c>
    </row>
    <row r="12" spans="1:22" x14ac:dyDescent="0.3">
      <c r="A12" s="64"/>
      <c r="B12" s="68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9"/>
      <c r="R12" s="64"/>
    </row>
    <row r="13" spans="1:22" x14ac:dyDescent="0.3">
      <c r="A13" s="64"/>
      <c r="B13" s="68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9"/>
      <c r="R13" s="64"/>
      <c r="S13" s="70"/>
      <c r="T13" s="71" t="s">
        <v>44</v>
      </c>
      <c r="U13" s="71" t="s">
        <v>45</v>
      </c>
      <c r="V13" t="s">
        <v>46</v>
      </c>
    </row>
    <row r="14" spans="1:22" x14ac:dyDescent="0.3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9"/>
      <c r="R14" s="64"/>
      <c r="S14" s="70" t="s">
        <v>47</v>
      </c>
      <c r="T14" s="71">
        <v>22</v>
      </c>
      <c r="U14" s="71">
        <f>ROUNDUP(T14*2.54,0)</f>
        <v>56</v>
      </c>
    </row>
    <row r="15" spans="1:22" x14ac:dyDescent="0.3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9"/>
      <c r="R15" s="64"/>
      <c r="S15" s="70" t="s">
        <v>48</v>
      </c>
      <c r="T15" s="71">
        <v>52</v>
      </c>
      <c r="U15" s="71">
        <f t="shared" ref="U15:U16" si="0">ROUNDUP(T15*2.54,0)</f>
        <v>133</v>
      </c>
    </row>
    <row r="16" spans="1:22" x14ac:dyDescent="0.3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9"/>
      <c r="R16" s="64"/>
      <c r="S16" s="70" t="s">
        <v>49</v>
      </c>
      <c r="T16" s="71">
        <v>82</v>
      </c>
      <c r="U16" s="71">
        <f t="shared" si="0"/>
        <v>209</v>
      </c>
    </row>
    <row r="17" spans="1:18" x14ac:dyDescent="0.3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9"/>
      <c r="R17" s="64"/>
    </row>
    <row r="18" spans="1:18" x14ac:dyDescent="0.3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9"/>
      <c r="R18" s="64"/>
    </row>
    <row r="19" spans="1:18" x14ac:dyDescent="0.3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9"/>
      <c r="R19" s="64"/>
    </row>
    <row r="20" spans="1:18" x14ac:dyDescent="0.3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9"/>
      <c r="R20" s="64"/>
    </row>
    <row r="21" spans="1:18" x14ac:dyDescent="0.3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9"/>
      <c r="R21" s="64"/>
    </row>
    <row r="22" spans="1:18" x14ac:dyDescent="0.3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9"/>
      <c r="R22" s="64"/>
    </row>
    <row r="23" spans="1:18" x14ac:dyDescent="0.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9"/>
      <c r="R23" s="64"/>
    </row>
    <row r="24" spans="1:18" x14ac:dyDescent="0.3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9"/>
    </row>
    <row r="25" spans="1:18" x14ac:dyDescent="0.3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9"/>
    </row>
    <row r="26" spans="1:18" x14ac:dyDescent="0.3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9"/>
    </row>
    <row r="27" spans="1:18" x14ac:dyDescent="0.3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9"/>
    </row>
    <row r="28" spans="1:18" x14ac:dyDescent="0.3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9"/>
    </row>
    <row r="29" spans="1:18" x14ac:dyDescent="0.3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9"/>
    </row>
    <row r="30" spans="1:18" x14ac:dyDescent="0.3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</row>
    <row r="31" spans="1:18" x14ac:dyDescent="0.3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</row>
    <row r="32" spans="1:18" x14ac:dyDescent="0.3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</row>
    <row r="33" spans="2:17" x14ac:dyDescent="0.3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</row>
    <row r="34" spans="2:17" x14ac:dyDescent="0.3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</row>
    <row r="35" spans="2:17" x14ac:dyDescent="0.3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</row>
    <row r="36" spans="2:17" x14ac:dyDescent="0.3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</row>
    <row r="37" spans="2:17" x14ac:dyDescent="0.3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</row>
    <row r="38" spans="2:17" x14ac:dyDescent="0.3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</row>
    <row r="39" spans="2:17" x14ac:dyDescent="0.3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</row>
    <row r="40" spans="2:17" x14ac:dyDescent="0.3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</row>
    <row r="41" spans="2:17" x14ac:dyDescent="0.3"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</row>
    <row r="42" spans="2:17" x14ac:dyDescent="0.3"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</row>
    <row r="43" spans="2:17" x14ac:dyDescent="0.3"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</row>
    <row r="44" spans="2:17" x14ac:dyDescent="0.3"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</row>
    <row r="45" spans="2:17" x14ac:dyDescent="0.3"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</row>
    <row r="46" spans="2:17" x14ac:dyDescent="0.3"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</row>
    <row r="47" spans="2:17" x14ac:dyDescent="0.3"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</row>
    <row r="48" spans="2:17" x14ac:dyDescent="0.3"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</row>
    <row r="49" spans="2:17" x14ac:dyDescent="0.3"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</row>
    <row r="50" spans="2:17" x14ac:dyDescent="0.3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</row>
    <row r="51" spans="2:17" x14ac:dyDescent="0.3"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</row>
    <row r="52" spans="2:17" x14ac:dyDescent="0.3"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</row>
    <row r="53" spans="2:17" x14ac:dyDescent="0.3"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</row>
    <row r="54" spans="2:17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</row>
    <row r="55" spans="2:17" x14ac:dyDescent="0.3"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</row>
    <row r="56" spans="2:17" x14ac:dyDescent="0.3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</row>
    <row r="57" spans="2:17" x14ac:dyDescent="0.3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</row>
    <row r="58" spans="2:17" x14ac:dyDescent="0.3"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</row>
    <row r="59" spans="2:17" x14ac:dyDescent="0.3"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2:17" x14ac:dyDescent="0.3"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</row>
    <row r="61" spans="2:17" x14ac:dyDescent="0.3"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</row>
    <row r="62" spans="2:17" x14ac:dyDescent="0.3"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</row>
    <row r="63" spans="2:17" x14ac:dyDescent="0.3"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</row>
    <row r="64" spans="2:17" x14ac:dyDescent="0.3"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</row>
    <row r="65" spans="2:17" x14ac:dyDescent="0.3"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</row>
    <row r="66" spans="2:17" x14ac:dyDescent="0.3"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</row>
    <row r="67" spans="2:17" x14ac:dyDescent="0.3"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</row>
    <row r="68" spans="2:17" x14ac:dyDescent="0.3"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</row>
    <row r="69" spans="2:17" x14ac:dyDescent="0.3"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</row>
    <row r="70" spans="2:17" x14ac:dyDescent="0.3"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</row>
    <row r="71" spans="2:17" x14ac:dyDescent="0.3"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</row>
    <row r="72" spans="2:17" x14ac:dyDescent="0.3"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</row>
    <row r="73" spans="2:17" x14ac:dyDescent="0.3"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</row>
    <row r="74" spans="2:17" x14ac:dyDescent="0.3"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</row>
    <row r="75" spans="2:17" x14ac:dyDescent="0.3"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</row>
    <row r="76" spans="2:17" x14ac:dyDescent="0.3"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</row>
    <row r="77" spans="2:17" x14ac:dyDescent="0.3"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</row>
    <row r="78" spans="2:17" x14ac:dyDescent="0.3"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</row>
  </sheetData>
  <mergeCells count="1">
    <mergeCell ref="B1:Q2"/>
  </mergeCells>
  <pageMargins left="0.7" right="0.7" top="0.75" bottom="0.75" header="0.3" footer="0.3"/>
  <headerFooter>
    <oddHeader>&amp;C&amp;"Calibri"&amp;10&amp;K000000  AGC Group Internal Use Only 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E394-95C4-4026-AD8F-0E16F994989B}">
  <dimension ref="B1:Z34"/>
  <sheetViews>
    <sheetView zoomScale="80" zoomScaleNormal="80" workbookViewId="0">
      <selection activeCell="O5" sqref="O5"/>
    </sheetView>
  </sheetViews>
  <sheetFormatPr defaultColWidth="9.109375" defaultRowHeight="15" x14ac:dyDescent="0.25"/>
  <cols>
    <col min="1" max="1" width="2.109375" style="12" customWidth="1"/>
    <col min="2" max="2" width="14.109375" style="12" customWidth="1"/>
    <col min="3" max="3" width="9.109375" style="12"/>
    <col min="4" max="4" width="5.33203125" style="12" customWidth="1"/>
    <col min="5" max="5" width="9.109375" style="13"/>
    <col min="6" max="6" width="11.5546875" style="14" customWidth="1"/>
    <col min="7" max="7" width="2.5546875" style="12" hidden="1" customWidth="1"/>
    <col min="8" max="9" width="9.109375" style="15"/>
    <col min="10" max="10" width="9.109375" style="12" customWidth="1"/>
    <col min="11" max="11" width="10.44140625" style="12" customWidth="1"/>
    <col min="12" max="12" width="10.33203125" style="12" customWidth="1"/>
    <col min="13" max="13" width="9.6640625" style="12" customWidth="1"/>
    <col min="14" max="14" width="2.109375" style="12" customWidth="1"/>
    <col min="15" max="16384" width="9.109375" style="12"/>
  </cols>
  <sheetData>
    <row r="1" spans="2:26" ht="6.75" customHeight="1" x14ac:dyDescent="0.25"/>
    <row r="2" spans="2:26" ht="22.2" x14ac:dyDescent="0.35">
      <c r="B2" s="16" t="s">
        <v>20</v>
      </c>
    </row>
    <row r="3" spans="2:26" ht="7.5" customHeight="1" x14ac:dyDescent="0.25"/>
    <row r="4" spans="2:26" x14ac:dyDescent="0.25">
      <c r="B4" s="17" t="s">
        <v>21</v>
      </c>
      <c r="C4" s="78" t="s">
        <v>22</v>
      </c>
      <c r="D4" s="78"/>
      <c r="E4" s="78"/>
      <c r="F4" s="18"/>
      <c r="G4" s="17"/>
      <c r="H4" s="79" t="s">
        <v>22</v>
      </c>
      <c r="I4" s="79"/>
      <c r="J4" s="80" t="s">
        <v>23</v>
      </c>
      <c r="K4" s="80"/>
      <c r="L4" s="80"/>
      <c r="M4" s="80"/>
      <c r="O4" s="81" t="s">
        <v>24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2:26" s="27" customFormat="1" ht="32.25" customHeight="1" thickBot="1" x14ac:dyDescent="0.35">
      <c r="B5" s="20" t="s">
        <v>25</v>
      </c>
      <c r="C5" s="21" t="s">
        <v>26</v>
      </c>
      <c r="D5" s="22"/>
      <c r="E5" s="21" t="s">
        <v>27</v>
      </c>
      <c r="F5" s="23" t="s">
        <v>28</v>
      </c>
      <c r="G5" s="22"/>
      <c r="H5" s="24" t="s">
        <v>29</v>
      </c>
      <c r="I5" s="24" t="s">
        <v>30</v>
      </c>
      <c r="J5" s="25" t="s">
        <v>31</v>
      </c>
      <c r="K5" s="25" t="s">
        <v>32</v>
      </c>
      <c r="L5" s="25" t="s">
        <v>33</v>
      </c>
      <c r="M5" s="26" t="s">
        <v>34</v>
      </c>
    </row>
    <row r="6" spans="2:26" ht="15.6" thickBot="1" x14ac:dyDescent="0.3">
      <c r="B6" s="28" t="s">
        <v>35</v>
      </c>
      <c r="C6" s="29">
        <v>36</v>
      </c>
      <c r="D6" s="30" t="s">
        <v>36</v>
      </c>
      <c r="E6" s="31">
        <v>24</v>
      </c>
      <c r="F6" s="32">
        <f>G6*C6</f>
        <v>115.45454545454544</v>
      </c>
      <c r="G6" s="29">
        <f>25.4/7.92</f>
        <v>3.2070707070707067</v>
      </c>
      <c r="H6" s="33">
        <f>E6</f>
        <v>24</v>
      </c>
      <c r="I6" s="33">
        <f>C6</f>
        <v>36</v>
      </c>
      <c r="J6" s="30">
        <v>4</v>
      </c>
      <c r="K6" s="30">
        <v>3</v>
      </c>
      <c r="L6" s="30">
        <v>1</v>
      </c>
      <c r="M6" s="34">
        <v>10</v>
      </c>
    </row>
    <row r="7" spans="2:26" ht="15.6" thickBot="1" x14ac:dyDescent="0.3">
      <c r="B7" s="35" t="s">
        <v>35</v>
      </c>
      <c r="C7" s="36">
        <v>42</v>
      </c>
      <c r="D7" s="37" t="s">
        <v>36</v>
      </c>
      <c r="E7" s="38">
        <v>32</v>
      </c>
      <c r="F7" s="39">
        <f t="shared" ref="F7:F30" si="0">G7*C7</f>
        <v>134.69696969696969</v>
      </c>
      <c r="G7" s="29">
        <f t="shared" ref="G7:G30" si="1">25.4/7.92</f>
        <v>3.2070707070707067</v>
      </c>
      <c r="H7" s="19">
        <v>32</v>
      </c>
      <c r="I7" s="19">
        <v>42</v>
      </c>
      <c r="J7" s="37">
        <v>3</v>
      </c>
      <c r="K7" s="37">
        <v>2</v>
      </c>
      <c r="L7" s="37">
        <v>0</v>
      </c>
      <c r="M7" s="40">
        <v>4</v>
      </c>
    </row>
    <row r="8" spans="2:26" ht="15.6" thickBot="1" x14ac:dyDescent="0.3">
      <c r="B8" s="35" t="s">
        <v>35</v>
      </c>
      <c r="C8" s="36">
        <v>48</v>
      </c>
      <c r="D8" s="37" t="s">
        <v>36</v>
      </c>
      <c r="E8" s="38">
        <v>36</v>
      </c>
      <c r="F8" s="39">
        <f t="shared" si="0"/>
        <v>153.93939393939394</v>
      </c>
      <c r="G8" s="29">
        <f t="shared" si="1"/>
        <v>3.2070707070707067</v>
      </c>
      <c r="H8" s="19">
        <v>48</v>
      </c>
      <c r="I8" s="19">
        <v>36</v>
      </c>
      <c r="J8" s="37">
        <v>2</v>
      </c>
      <c r="K8" s="37">
        <v>3</v>
      </c>
      <c r="L8" s="37">
        <v>1</v>
      </c>
      <c r="M8" s="40">
        <v>10</v>
      </c>
    </row>
    <row r="9" spans="2:26" ht="15.6" thickBot="1" x14ac:dyDescent="0.3">
      <c r="B9" s="35" t="s">
        <v>35</v>
      </c>
      <c r="C9" s="36">
        <v>49</v>
      </c>
      <c r="D9" s="37" t="s">
        <v>36</v>
      </c>
      <c r="E9" s="38">
        <v>43</v>
      </c>
      <c r="F9" s="39">
        <f t="shared" si="0"/>
        <v>157.14646464646464</v>
      </c>
      <c r="G9" s="29">
        <f t="shared" si="1"/>
        <v>3.2070707070707067</v>
      </c>
      <c r="H9" s="19">
        <v>49</v>
      </c>
      <c r="I9" s="19">
        <v>43</v>
      </c>
      <c r="J9" s="37">
        <v>2</v>
      </c>
      <c r="K9" s="37">
        <v>2</v>
      </c>
      <c r="L9" s="37">
        <v>1</v>
      </c>
      <c r="M9" s="40">
        <v>10</v>
      </c>
    </row>
    <row r="10" spans="2:26" ht="15.6" thickBot="1" x14ac:dyDescent="0.3">
      <c r="B10" s="41" t="s">
        <v>35</v>
      </c>
      <c r="C10" s="42">
        <v>50</v>
      </c>
      <c r="D10" s="43" t="s">
        <v>36</v>
      </c>
      <c r="E10" s="44">
        <v>30</v>
      </c>
      <c r="F10" s="45">
        <f t="shared" si="0"/>
        <v>160.35353535353534</v>
      </c>
      <c r="G10" s="29">
        <f t="shared" si="1"/>
        <v>3.2070707070707067</v>
      </c>
      <c r="H10" s="46">
        <v>30</v>
      </c>
      <c r="I10" s="46">
        <v>50</v>
      </c>
      <c r="J10" s="43">
        <v>3</v>
      </c>
      <c r="K10" s="43">
        <v>2</v>
      </c>
      <c r="L10" s="43">
        <v>0</v>
      </c>
      <c r="M10" s="47">
        <v>10</v>
      </c>
    </row>
    <row r="11" spans="2:26" ht="15.6" thickBot="1" x14ac:dyDescent="0.3">
      <c r="B11" s="48" t="s">
        <v>37</v>
      </c>
      <c r="C11" s="48">
        <v>60</v>
      </c>
      <c r="D11" s="49" t="s">
        <v>36</v>
      </c>
      <c r="E11" s="50">
        <v>30</v>
      </c>
      <c r="F11" s="51">
        <f t="shared" si="0"/>
        <v>192.42424242424241</v>
      </c>
      <c r="G11" s="29">
        <f t="shared" si="1"/>
        <v>3.2070707070707067</v>
      </c>
      <c r="H11" s="52">
        <v>30</v>
      </c>
      <c r="I11" s="52">
        <v>60</v>
      </c>
      <c r="J11" s="49">
        <v>3</v>
      </c>
      <c r="K11" s="49">
        <v>1</v>
      </c>
      <c r="L11" s="49">
        <v>0</v>
      </c>
      <c r="M11" s="52">
        <v>4</v>
      </c>
    </row>
    <row r="12" spans="2:26" ht="15.6" thickBot="1" x14ac:dyDescent="0.3">
      <c r="B12" s="36" t="s">
        <v>37</v>
      </c>
      <c r="C12" s="36">
        <v>60</v>
      </c>
      <c r="D12" s="37" t="s">
        <v>36</v>
      </c>
      <c r="E12" s="38">
        <v>36</v>
      </c>
      <c r="F12" s="39">
        <f t="shared" si="0"/>
        <v>192.42424242424241</v>
      </c>
      <c r="G12" s="29">
        <f t="shared" si="1"/>
        <v>3.2070707070707067</v>
      </c>
      <c r="H12" s="19">
        <v>36</v>
      </c>
      <c r="I12" s="19">
        <v>60</v>
      </c>
      <c r="J12" s="37">
        <v>2</v>
      </c>
      <c r="K12" s="37">
        <v>1</v>
      </c>
      <c r="L12" s="37">
        <v>0</v>
      </c>
      <c r="M12" s="19">
        <v>4</v>
      </c>
    </row>
    <row r="13" spans="2:26" ht="15.6" thickBot="1" x14ac:dyDescent="0.3">
      <c r="B13" s="82" t="s">
        <v>38</v>
      </c>
      <c r="C13" s="53">
        <v>60</v>
      </c>
      <c r="D13" s="54" t="s">
        <v>36</v>
      </c>
      <c r="E13" s="55">
        <v>30</v>
      </c>
      <c r="F13" s="39">
        <f t="shared" si="0"/>
        <v>192.42424242424241</v>
      </c>
      <c r="G13" s="29">
        <f t="shared" si="1"/>
        <v>3.2070707070707067</v>
      </c>
      <c r="H13" s="56" t="s">
        <v>39</v>
      </c>
      <c r="I13" s="56">
        <v>60</v>
      </c>
      <c r="J13" s="54">
        <v>2</v>
      </c>
      <c r="K13" s="54">
        <v>1</v>
      </c>
      <c r="L13" s="54">
        <v>0</v>
      </c>
      <c r="M13" s="56">
        <v>4</v>
      </c>
    </row>
    <row r="14" spans="2:26" ht="15.6" thickBot="1" x14ac:dyDescent="0.3">
      <c r="B14" s="82"/>
      <c r="C14" s="53">
        <v>60</v>
      </c>
      <c r="D14" s="54" t="s">
        <v>36</v>
      </c>
      <c r="E14" s="55">
        <v>36</v>
      </c>
      <c r="F14" s="39">
        <f t="shared" si="0"/>
        <v>192.42424242424241</v>
      </c>
      <c r="G14" s="29">
        <f t="shared" si="1"/>
        <v>3.2070707070707067</v>
      </c>
      <c r="H14" s="56">
        <v>36</v>
      </c>
      <c r="I14" s="56">
        <v>60</v>
      </c>
      <c r="J14" s="54">
        <v>1</v>
      </c>
      <c r="K14" s="54">
        <v>1</v>
      </c>
      <c r="L14" s="54">
        <v>0</v>
      </c>
      <c r="M14" s="56">
        <v>4</v>
      </c>
    </row>
    <row r="15" spans="2:26" ht="15.6" thickBot="1" x14ac:dyDescent="0.3">
      <c r="B15" s="57" t="s">
        <v>37</v>
      </c>
      <c r="C15" s="57">
        <v>65</v>
      </c>
      <c r="D15" s="58" t="s">
        <v>36</v>
      </c>
      <c r="E15" s="59">
        <v>43</v>
      </c>
      <c r="F15" s="39">
        <f t="shared" si="0"/>
        <v>208.45959595959593</v>
      </c>
      <c r="G15" s="29">
        <f t="shared" si="1"/>
        <v>3.2070707070707067</v>
      </c>
      <c r="H15" s="60">
        <v>43</v>
      </c>
      <c r="I15" s="60">
        <v>65</v>
      </c>
      <c r="J15" s="58">
        <v>2</v>
      </c>
      <c r="K15" s="58">
        <v>1</v>
      </c>
      <c r="L15" s="58">
        <v>0</v>
      </c>
      <c r="M15" s="60">
        <v>4</v>
      </c>
    </row>
    <row r="16" spans="2:26" ht="15.6" thickBot="1" x14ac:dyDescent="0.3">
      <c r="B16" s="36" t="s">
        <v>37</v>
      </c>
      <c r="C16" s="36">
        <v>60</v>
      </c>
      <c r="D16" s="37" t="s">
        <v>36</v>
      </c>
      <c r="E16" s="38">
        <v>48</v>
      </c>
      <c r="F16" s="39">
        <f t="shared" si="0"/>
        <v>192.42424242424241</v>
      </c>
      <c r="G16" s="29">
        <f t="shared" si="1"/>
        <v>3.2070707070707067</v>
      </c>
      <c r="H16" s="19">
        <v>48</v>
      </c>
      <c r="I16" s="19">
        <v>60</v>
      </c>
      <c r="J16" s="37">
        <v>2</v>
      </c>
      <c r="K16" s="37">
        <v>1</v>
      </c>
      <c r="L16" s="37">
        <v>0</v>
      </c>
      <c r="M16" s="19">
        <v>4</v>
      </c>
    </row>
    <row r="17" spans="2:13" ht="15.6" thickBot="1" x14ac:dyDescent="0.3">
      <c r="B17" s="36" t="s">
        <v>37</v>
      </c>
      <c r="C17" s="36">
        <v>72</v>
      </c>
      <c r="D17" s="37" t="s">
        <v>36</v>
      </c>
      <c r="E17" s="38">
        <v>42</v>
      </c>
      <c r="F17" s="39">
        <f t="shared" si="0"/>
        <v>230.90909090909088</v>
      </c>
      <c r="G17" s="29">
        <f t="shared" si="1"/>
        <v>3.2070707070707067</v>
      </c>
      <c r="H17" s="19">
        <v>42</v>
      </c>
      <c r="I17" s="19">
        <v>72</v>
      </c>
      <c r="J17" s="37">
        <v>2</v>
      </c>
      <c r="K17" s="37">
        <v>1</v>
      </c>
      <c r="L17" s="37">
        <v>0</v>
      </c>
      <c r="M17" s="19">
        <v>2</v>
      </c>
    </row>
    <row r="18" spans="2:13" ht="15.6" thickBot="1" x14ac:dyDescent="0.3">
      <c r="B18" s="36" t="s">
        <v>37</v>
      </c>
      <c r="C18" s="36">
        <v>72</v>
      </c>
      <c r="D18" s="37" t="s">
        <v>36</v>
      </c>
      <c r="E18" s="38">
        <v>48</v>
      </c>
      <c r="F18" s="39">
        <f t="shared" si="0"/>
        <v>230.90909090909088</v>
      </c>
      <c r="G18" s="29">
        <f t="shared" si="1"/>
        <v>3.2070707070707067</v>
      </c>
      <c r="H18" s="19">
        <v>48</v>
      </c>
      <c r="I18" s="19">
        <v>72</v>
      </c>
      <c r="J18" s="37">
        <v>2</v>
      </c>
      <c r="K18" s="37">
        <v>1</v>
      </c>
      <c r="L18" s="37">
        <v>0</v>
      </c>
      <c r="M18" s="19">
        <v>2</v>
      </c>
    </row>
    <row r="19" spans="2:13" ht="15.6" thickBot="1" x14ac:dyDescent="0.3">
      <c r="B19" s="36" t="s">
        <v>37</v>
      </c>
      <c r="C19" s="36">
        <v>84</v>
      </c>
      <c r="D19" s="37" t="s">
        <v>36</v>
      </c>
      <c r="E19" s="38">
        <v>60</v>
      </c>
      <c r="F19" s="39">
        <f t="shared" si="0"/>
        <v>269.39393939393938</v>
      </c>
      <c r="G19" s="29">
        <f t="shared" si="1"/>
        <v>3.2070707070707067</v>
      </c>
      <c r="H19" s="19">
        <v>84</v>
      </c>
      <c r="I19" s="19">
        <v>60</v>
      </c>
      <c r="J19" s="37">
        <v>1</v>
      </c>
      <c r="K19" s="37">
        <v>1</v>
      </c>
      <c r="L19" s="37">
        <v>0</v>
      </c>
      <c r="M19" s="19">
        <v>4</v>
      </c>
    </row>
    <row r="20" spans="2:13" ht="15.6" thickBot="1" x14ac:dyDescent="0.3">
      <c r="B20" s="36" t="s">
        <v>37</v>
      </c>
      <c r="C20" s="36">
        <v>84</v>
      </c>
      <c r="D20" s="37" t="s">
        <v>36</v>
      </c>
      <c r="E20" s="38">
        <v>72</v>
      </c>
      <c r="F20" s="39">
        <f t="shared" si="0"/>
        <v>269.39393939393938</v>
      </c>
      <c r="G20" s="29">
        <f t="shared" si="1"/>
        <v>3.2070707070707067</v>
      </c>
      <c r="H20" s="19">
        <v>84</v>
      </c>
      <c r="I20" s="19">
        <v>72</v>
      </c>
      <c r="J20" s="37">
        <v>1</v>
      </c>
      <c r="K20" s="37">
        <v>1</v>
      </c>
      <c r="L20" s="37">
        <v>0</v>
      </c>
      <c r="M20" s="19">
        <v>2</v>
      </c>
    </row>
    <row r="21" spans="2:13" ht="15.6" thickBot="1" x14ac:dyDescent="0.3">
      <c r="B21" s="36" t="s">
        <v>37</v>
      </c>
      <c r="C21" s="36">
        <v>84</v>
      </c>
      <c r="D21" s="37" t="s">
        <v>36</v>
      </c>
      <c r="E21" s="38">
        <v>84</v>
      </c>
      <c r="F21" s="39">
        <f t="shared" si="0"/>
        <v>269.39393939393938</v>
      </c>
      <c r="G21" s="29">
        <f t="shared" si="1"/>
        <v>3.2070707070707067</v>
      </c>
      <c r="H21" s="19">
        <v>84</v>
      </c>
      <c r="I21" s="19">
        <v>84</v>
      </c>
      <c r="J21" s="37">
        <v>1</v>
      </c>
      <c r="K21" s="37">
        <v>1</v>
      </c>
      <c r="L21" s="37">
        <v>0</v>
      </c>
      <c r="M21" s="19">
        <v>2</v>
      </c>
    </row>
    <row r="22" spans="2:13" ht="15.6" thickBot="1" x14ac:dyDescent="0.3">
      <c r="B22" s="36" t="s">
        <v>37</v>
      </c>
      <c r="C22" s="36">
        <v>96</v>
      </c>
      <c r="D22" s="37" t="s">
        <v>36</v>
      </c>
      <c r="E22" s="38">
        <v>60</v>
      </c>
      <c r="F22" s="39">
        <f t="shared" si="0"/>
        <v>307.87878787878788</v>
      </c>
      <c r="G22" s="29">
        <f t="shared" si="1"/>
        <v>3.2070707070707067</v>
      </c>
      <c r="H22" s="19">
        <v>96</v>
      </c>
      <c r="I22" s="19">
        <v>60</v>
      </c>
      <c r="J22" s="37">
        <v>1</v>
      </c>
      <c r="K22" s="37">
        <v>1</v>
      </c>
      <c r="L22" s="37">
        <v>0</v>
      </c>
      <c r="M22" s="19">
        <v>4</v>
      </c>
    </row>
    <row r="23" spans="2:13" ht="15.6" thickBot="1" x14ac:dyDescent="0.3">
      <c r="B23" s="36" t="s">
        <v>37</v>
      </c>
      <c r="C23" s="36">
        <v>96</v>
      </c>
      <c r="D23" s="37" t="s">
        <v>36</v>
      </c>
      <c r="E23" s="38">
        <v>72</v>
      </c>
      <c r="F23" s="39">
        <f t="shared" si="0"/>
        <v>307.87878787878788</v>
      </c>
      <c r="G23" s="29">
        <f t="shared" si="1"/>
        <v>3.2070707070707067</v>
      </c>
      <c r="H23" s="19">
        <v>96</v>
      </c>
      <c r="I23" s="19">
        <v>72</v>
      </c>
      <c r="J23" s="37">
        <v>1</v>
      </c>
      <c r="K23" s="37">
        <v>1</v>
      </c>
      <c r="L23" s="37">
        <v>0</v>
      </c>
      <c r="M23" s="19">
        <v>2</v>
      </c>
    </row>
    <row r="24" spans="2:13" ht="15.6" thickBot="1" x14ac:dyDescent="0.3">
      <c r="B24" s="36" t="s">
        <v>37</v>
      </c>
      <c r="C24" s="36">
        <v>96</v>
      </c>
      <c r="D24" s="37" t="s">
        <v>36</v>
      </c>
      <c r="E24" s="38">
        <v>84</v>
      </c>
      <c r="F24" s="39">
        <f t="shared" si="0"/>
        <v>307.87878787878788</v>
      </c>
      <c r="G24" s="29">
        <f t="shared" si="1"/>
        <v>3.2070707070707067</v>
      </c>
      <c r="H24" s="19">
        <v>96</v>
      </c>
      <c r="I24" s="19">
        <v>84</v>
      </c>
      <c r="J24" s="37">
        <v>1</v>
      </c>
      <c r="K24" s="37">
        <v>1</v>
      </c>
      <c r="L24" s="37">
        <v>0</v>
      </c>
      <c r="M24" s="19">
        <v>2</v>
      </c>
    </row>
    <row r="25" spans="2:13" ht="15.6" thickBot="1" x14ac:dyDescent="0.3">
      <c r="B25" s="36" t="s">
        <v>37</v>
      </c>
      <c r="C25" s="36">
        <v>120</v>
      </c>
      <c r="D25" s="37" t="s">
        <v>36</v>
      </c>
      <c r="E25" s="38">
        <v>60</v>
      </c>
      <c r="F25" s="39">
        <f t="shared" si="0"/>
        <v>384.84848484848482</v>
      </c>
      <c r="G25" s="29">
        <f t="shared" si="1"/>
        <v>3.2070707070707067</v>
      </c>
      <c r="H25" s="19">
        <v>60</v>
      </c>
      <c r="I25" s="19">
        <v>120</v>
      </c>
      <c r="J25" s="37">
        <v>1</v>
      </c>
      <c r="K25" s="37">
        <v>1</v>
      </c>
      <c r="L25" s="37">
        <v>0</v>
      </c>
      <c r="M25" s="19">
        <v>2</v>
      </c>
    </row>
    <row r="26" spans="2:13" ht="15.6" thickBot="1" x14ac:dyDescent="0.3">
      <c r="B26" s="36" t="s">
        <v>37</v>
      </c>
      <c r="C26" s="36">
        <v>120</v>
      </c>
      <c r="D26" s="37" t="s">
        <v>36</v>
      </c>
      <c r="E26" s="38">
        <v>72</v>
      </c>
      <c r="F26" s="39">
        <f t="shared" si="0"/>
        <v>384.84848484848482</v>
      </c>
      <c r="G26" s="29">
        <f t="shared" si="1"/>
        <v>3.2070707070707067</v>
      </c>
      <c r="H26" s="19">
        <v>72</v>
      </c>
      <c r="I26" s="19">
        <v>120</v>
      </c>
      <c r="J26" s="37">
        <v>1</v>
      </c>
      <c r="K26" s="37">
        <v>1</v>
      </c>
      <c r="L26" s="37">
        <v>0</v>
      </c>
      <c r="M26" s="19">
        <v>2</v>
      </c>
    </row>
    <row r="27" spans="2:13" ht="15.6" thickBot="1" x14ac:dyDescent="0.3">
      <c r="B27" s="36" t="s">
        <v>37</v>
      </c>
      <c r="C27" s="36">
        <v>120</v>
      </c>
      <c r="D27" s="37" t="s">
        <v>36</v>
      </c>
      <c r="E27" s="38">
        <v>84</v>
      </c>
      <c r="F27" s="39">
        <f t="shared" si="0"/>
        <v>384.84848484848482</v>
      </c>
      <c r="G27" s="29">
        <f t="shared" si="1"/>
        <v>3.2070707070707067</v>
      </c>
      <c r="H27" s="19">
        <v>84</v>
      </c>
      <c r="I27" s="19">
        <v>120</v>
      </c>
      <c r="J27" s="37">
        <v>1</v>
      </c>
      <c r="K27" s="37">
        <v>1</v>
      </c>
      <c r="L27" s="37">
        <v>0</v>
      </c>
      <c r="M27" s="19">
        <v>2</v>
      </c>
    </row>
    <row r="28" spans="2:13" ht="15.6" thickBot="1" x14ac:dyDescent="0.3">
      <c r="B28" s="36" t="s">
        <v>37</v>
      </c>
      <c r="C28" s="36">
        <v>120</v>
      </c>
      <c r="D28" s="37" t="s">
        <v>36</v>
      </c>
      <c r="E28" s="38">
        <v>96</v>
      </c>
      <c r="F28" s="39">
        <f t="shared" si="0"/>
        <v>384.84848484848482</v>
      </c>
      <c r="G28" s="29">
        <f t="shared" si="1"/>
        <v>3.2070707070707067</v>
      </c>
      <c r="H28" s="19">
        <v>96</v>
      </c>
      <c r="I28" s="19">
        <v>120</v>
      </c>
      <c r="J28" s="37">
        <v>1</v>
      </c>
      <c r="K28" s="37">
        <v>1</v>
      </c>
      <c r="L28" s="37">
        <v>0</v>
      </c>
      <c r="M28" s="19">
        <v>118</v>
      </c>
    </row>
    <row r="29" spans="2:13" ht="15.6" thickBot="1" x14ac:dyDescent="0.3">
      <c r="B29" s="36" t="s">
        <v>37</v>
      </c>
      <c r="C29" s="36">
        <v>144</v>
      </c>
      <c r="D29" s="37" t="s">
        <v>36</v>
      </c>
      <c r="E29" s="38">
        <v>84</v>
      </c>
      <c r="F29" s="39">
        <f t="shared" si="0"/>
        <v>461.81818181818176</v>
      </c>
      <c r="G29" s="29">
        <f t="shared" si="1"/>
        <v>3.2070707070707067</v>
      </c>
      <c r="H29" s="19">
        <v>84</v>
      </c>
      <c r="I29" s="19">
        <v>144</v>
      </c>
      <c r="J29" s="37">
        <v>1</v>
      </c>
      <c r="K29" s="37">
        <v>1</v>
      </c>
      <c r="L29" s="37">
        <v>0</v>
      </c>
      <c r="M29" s="19">
        <v>118</v>
      </c>
    </row>
    <row r="30" spans="2:13" x14ac:dyDescent="0.25">
      <c r="B30" s="36" t="s">
        <v>37</v>
      </c>
      <c r="C30" s="36">
        <v>144</v>
      </c>
      <c r="D30" s="37" t="s">
        <v>36</v>
      </c>
      <c r="E30" s="38">
        <v>96</v>
      </c>
      <c r="F30" s="39">
        <f t="shared" si="0"/>
        <v>461.81818181818176</v>
      </c>
      <c r="G30" s="29">
        <f t="shared" si="1"/>
        <v>3.2070707070707067</v>
      </c>
      <c r="H30" s="19">
        <v>96</v>
      </c>
      <c r="I30" s="19">
        <v>144</v>
      </c>
      <c r="J30" s="37">
        <v>1</v>
      </c>
      <c r="K30" s="37">
        <v>1</v>
      </c>
      <c r="L30" s="37">
        <v>0</v>
      </c>
      <c r="M30" s="19">
        <v>118</v>
      </c>
    </row>
    <row r="31" spans="2:13" x14ac:dyDescent="0.25">
      <c r="D31" s="15"/>
      <c r="H31" s="61"/>
      <c r="I31" s="61"/>
      <c r="J31" s="15"/>
      <c r="K31" s="15"/>
      <c r="L31" s="15"/>
      <c r="M31" s="61"/>
    </row>
    <row r="32" spans="2:13" x14ac:dyDescent="0.25">
      <c r="C32" s="62" t="s">
        <v>40</v>
      </c>
      <c r="D32" s="15"/>
      <c r="E32" s="13" t="s">
        <v>40</v>
      </c>
      <c r="H32" s="61"/>
      <c r="I32" s="61"/>
      <c r="M32" s="63"/>
    </row>
    <row r="33" spans="2:13" x14ac:dyDescent="0.25">
      <c r="B33" s="12" t="s">
        <v>37</v>
      </c>
      <c r="C33" s="12">
        <v>1385</v>
      </c>
      <c r="D33" s="15" t="s">
        <v>36</v>
      </c>
      <c r="E33" s="13">
        <v>775</v>
      </c>
      <c r="H33" s="61">
        <v>775</v>
      </c>
      <c r="I33" s="61">
        <v>1385</v>
      </c>
      <c r="J33" s="15">
        <v>3</v>
      </c>
      <c r="K33" s="15">
        <v>1</v>
      </c>
      <c r="L33" s="15">
        <v>0</v>
      </c>
      <c r="M33" s="61">
        <v>4</v>
      </c>
    </row>
    <row r="34" spans="2:13" x14ac:dyDescent="0.25">
      <c r="B34" s="12" t="s">
        <v>37</v>
      </c>
      <c r="C34" s="12">
        <v>1540</v>
      </c>
      <c r="D34" s="15" t="s">
        <v>36</v>
      </c>
      <c r="E34" s="13">
        <v>775</v>
      </c>
      <c r="H34" s="61">
        <v>775</v>
      </c>
      <c r="I34" s="61">
        <v>1540</v>
      </c>
      <c r="J34" s="15">
        <v>3</v>
      </c>
      <c r="K34" s="15">
        <v>1</v>
      </c>
      <c r="L34" s="15">
        <v>0</v>
      </c>
      <c r="M34" s="61">
        <v>4</v>
      </c>
    </row>
  </sheetData>
  <mergeCells count="5">
    <mergeCell ref="C4:E4"/>
    <mergeCell ref="H4:I4"/>
    <mergeCell ref="J4:M4"/>
    <mergeCell ref="O4:Z4"/>
    <mergeCell ref="B13:B14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EA01-605D-4489-BEFB-B48444E5476E}">
  <dimension ref="A1:N31"/>
  <sheetViews>
    <sheetView zoomScale="145" zoomScaleNormal="145" workbookViewId="0">
      <selection activeCell="E11" sqref="E11"/>
    </sheetView>
  </sheetViews>
  <sheetFormatPr defaultColWidth="9.109375" defaultRowHeight="14.4" x14ac:dyDescent="0.3"/>
  <cols>
    <col min="1" max="1" width="11.88671875" style="1" bestFit="1" customWidth="1"/>
    <col min="2" max="2" width="7.33203125" style="2" bestFit="1" customWidth="1"/>
    <col min="3" max="3" width="8.44140625" style="2" bestFit="1" customWidth="1"/>
    <col min="4" max="4" width="14.88671875" style="2" bestFit="1" customWidth="1"/>
    <col min="5" max="5" width="13.6640625" style="2" bestFit="1" customWidth="1"/>
    <col min="6" max="6" width="9.44140625" style="1" bestFit="1" customWidth="1"/>
    <col min="7" max="7" width="9.44140625" style="1" customWidth="1"/>
    <col min="8" max="8" width="17.88671875" style="1" customWidth="1"/>
    <col min="9" max="9" width="7.33203125" style="1" bestFit="1" customWidth="1"/>
    <col min="10" max="10" width="8.44140625" style="1" bestFit="1" customWidth="1"/>
    <col min="11" max="11" width="15.44140625" style="1" bestFit="1" customWidth="1"/>
    <col min="12" max="12" width="14.33203125" style="1" bestFit="1" customWidth="1"/>
    <col min="13" max="13" width="9.44140625" style="1" bestFit="1" customWidth="1"/>
    <col min="14" max="16384" width="9.109375" style="1"/>
  </cols>
  <sheetData>
    <row r="1" spans="1:14" ht="27.75" customHeight="1" x14ac:dyDescent="0.3">
      <c r="B1" s="3" t="s">
        <v>0</v>
      </c>
      <c r="C1" s="3" t="s">
        <v>1</v>
      </c>
      <c r="D1" s="4" t="s">
        <v>2</v>
      </c>
      <c r="E1" s="5" t="s">
        <v>3</v>
      </c>
      <c r="I1" s="3" t="s">
        <v>0</v>
      </c>
      <c r="J1" s="3" t="s">
        <v>1</v>
      </c>
      <c r="K1" s="4" t="s">
        <v>4</v>
      </c>
      <c r="L1" s="5" t="s">
        <v>5</v>
      </c>
    </row>
    <row r="2" spans="1:14" x14ac:dyDescent="0.3">
      <c r="B2" s="6">
        <v>24</v>
      </c>
      <c r="C2" s="6">
        <v>36</v>
      </c>
      <c r="D2" s="6">
        <v>4</v>
      </c>
      <c r="E2" s="6">
        <v>3</v>
      </c>
      <c r="F2" s="1" t="s">
        <v>7</v>
      </c>
      <c r="G2" s="1" t="s">
        <v>15</v>
      </c>
      <c r="I2" s="9">
        <v>60</v>
      </c>
      <c r="J2" s="9">
        <v>120</v>
      </c>
      <c r="K2" s="9">
        <v>1</v>
      </c>
      <c r="L2" s="9">
        <v>1</v>
      </c>
      <c r="M2" s="7" t="s">
        <v>8</v>
      </c>
      <c r="N2" s="7" t="s">
        <v>18</v>
      </c>
    </row>
    <row r="3" spans="1:14" x14ac:dyDescent="0.3">
      <c r="B3" s="6">
        <v>30</v>
      </c>
      <c r="C3" s="6">
        <v>50</v>
      </c>
      <c r="D3" s="6">
        <v>3</v>
      </c>
      <c r="E3" s="6">
        <v>2</v>
      </c>
      <c r="F3" s="1" t="s">
        <v>7</v>
      </c>
      <c r="G3" s="1" t="s">
        <v>15</v>
      </c>
      <c r="I3" s="9">
        <v>72</v>
      </c>
      <c r="J3" s="9">
        <v>120</v>
      </c>
      <c r="K3" s="9">
        <v>1</v>
      </c>
      <c r="L3" s="9">
        <v>1</v>
      </c>
      <c r="M3" s="7" t="s">
        <v>8</v>
      </c>
      <c r="N3" s="7" t="s">
        <v>18</v>
      </c>
    </row>
    <row r="4" spans="1:14" x14ac:dyDescent="0.3">
      <c r="A4" s="1" t="s">
        <v>9</v>
      </c>
      <c r="B4" s="8">
        <v>30</v>
      </c>
      <c r="C4" s="8">
        <v>60</v>
      </c>
      <c r="D4" s="8">
        <v>3</v>
      </c>
      <c r="E4" s="8">
        <v>1</v>
      </c>
      <c r="F4" s="1" t="s">
        <v>7</v>
      </c>
      <c r="G4" s="1" t="s">
        <v>15</v>
      </c>
      <c r="I4" s="6">
        <v>84</v>
      </c>
      <c r="J4" s="6">
        <v>126</v>
      </c>
      <c r="K4" s="6">
        <v>1</v>
      </c>
      <c r="L4" s="6">
        <v>1</v>
      </c>
      <c r="M4" s="1" t="s">
        <v>7</v>
      </c>
      <c r="N4" s="1" t="s">
        <v>19</v>
      </c>
    </row>
    <row r="5" spans="1:14" x14ac:dyDescent="0.3">
      <c r="A5" s="1" t="s">
        <v>9</v>
      </c>
      <c r="B5" s="6">
        <v>30</v>
      </c>
      <c r="C5" s="6">
        <v>54.5</v>
      </c>
      <c r="D5" s="6">
        <v>3</v>
      </c>
      <c r="E5" s="6">
        <v>1</v>
      </c>
      <c r="F5" s="1" t="s">
        <v>7</v>
      </c>
      <c r="G5" s="1" t="s">
        <v>15</v>
      </c>
      <c r="I5" s="6">
        <v>84</v>
      </c>
      <c r="J5" s="6">
        <v>60</v>
      </c>
      <c r="K5" s="6">
        <v>1</v>
      </c>
      <c r="L5" s="6">
        <v>1</v>
      </c>
      <c r="M5" s="1" t="s">
        <v>7</v>
      </c>
      <c r="N5" s="1" t="s">
        <v>19</v>
      </c>
    </row>
    <row r="6" spans="1:14" x14ac:dyDescent="0.3">
      <c r="B6" s="1"/>
      <c r="C6" s="1"/>
      <c r="D6" s="1"/>
      <c r="E6" s="1"/>
      <c r="I6" s="6">
        <v>84</v>
      </c>
      <c r="J6" s="6">
        <v>72</v>
      </c>
      <c r="K6" s="6">
        <v>1</v>
      </c>
      <c r="L6" s="6">
        <v>1</v>
      </c>
      <c r="M6" s="1" t="s">
        <v>7</v>
      </c>
      <c r="N6" s="1" t="s">
        <v>19</v>
      </c>
    </row>
    <row r="7" spans="1:14" x14ac:dyDescent="0.3">
      <c r="B7" s="9">
        <v>36</v>
      </c>
      <c r="C7" s="9">
        <v>60</v>
      </c>
      <c r="D7" s="9">
        <v>2</v>
      </c>
      <c r="E7" s="9">
        <v>1</v>
      </c>
      <c r="F7" s="7" t="s">
        <v>8</v>
      </c>
      <c r="G7" s="7" t="s">
        <v>16</v>
      </c>
      <c r="H7" s="7"/>
      <c r="I7" s="6">
        <v>84</v>
      </c>
      <c r="J7" s="6">
        <v>84</v>
      </c>
      <c r="K7" s="6">
        <v>1</v>
      </c>
      <c r="L7" s="6">
        <v>1</v>
      </c>
      <c r="M7" s="1" t="s">
        <v>7</v>
      </c>
      <c r="N7" s="1" t="s">
        <v>19</v>
      </c>
    </row>
    <row r="8" spans="1:14" x14ac:dyDescent="0.3">
      <c r="B8" s="9">
        <v>36</v>
      </c>
      <c r="C8" s="9">
        <v>72</v>
      </c>
      <c r="D8" s="9">
        <v>2</v>
      </c>
      <c r="E8" s="9">
        <v>1</v>
      </c>
      <c r="F8" s="7" t="s">
        <v>8</v>
      </c>
      <c r="G8" s="7" t="s">
        <v>16</v>
      </c>
      <c r="H8" s="7"/>
      <c r="I8" s="6">
        <v>84</v>
      </c>
      <c r="J8" s="6">
        <v>120</v>
      </c>
      <c r="K8" s="6">
        <v>1</v>
      </c>
      <c r="L8" s="6">
        <v>1</v>
      </c>
      <c r="M8" s="1" t="s">
        <v>7</v>
      </c>
      <c r="N8" s="1" t="s">
        <v>19</v>
      </c>
    </row>
    <row r="9" spans="1:14" x14ac:dyDescent="0.3">
      <c r="H9" s="7"/>
      <c r="I9" s="6">
        <v>84</v>
      </c>
      <c r="J9" s="6">
        <v>144</v>
      </c>
      <c r="K9" s="6">
        <v>1</v>
      </c>
      <c r="L9" s="6">
        <v>1</v>
      </c>
      <c r="M9" s="1" t="s">
        <v>7</v>
      </c>
      <c r="N9" s="1" t="s">
        <v>19</v>
      </c>
    </row>
    <row r="10" spans="1:14" x14ac:dyDescent="0.3">
      <c r="B10" s="10">
        <v>42</v>
      </c>
      <c r="C10" s="10">
        <v>32</v>
      </c>
      <c r="D10" s="10">
        <v>2</v>
      </c>
      <c r="E10" s="10">
        <v>3</v>
      </c>
      <c r="F10" s="11" t="s">
        <v>6</v>
      </c>
      <c r="G10" s="11" t="s">
        <v>17</v>
      </c>
      <c r="H10" s="7"/>
      <c r="I10" s="6">
        <v>96</v>
      </c>
      <c r="J10" s="6">
        <v>60</v>
      </c>
      <c r="K10" s="6">
        <v>1</v>
      </c>
      <c r="L10" s="6">
        <v>1</v>
      </c>
      <c r="M10" s="1" t="s">
        <v>7</v>
      </c>
      <c r="N10" s="1" t="s">
        <v>19</v>
      </c>
    </row>
    <row r="11" spans="1:14" x14ac:dyDescent="0.3">
      <c r="B11" s="10">
        <v>42</v>
      </c>
      <c r="C11" s="10">
        <v>72</v>
      </c>
      <c r="D11" s="10">
        <v>2</v>
      </c>
      <c r="E11" s="10">
        <v>1</v>
      </c>
      <c r="F11" s="11" t="s">
        <v>6</v>
      </c>
      <c r="G11" s="11" t="s">
        <v>17</v>
      </c>
      <c r="H11" s="7"/>
      <c r="I11" s="6">
        <v>96</v>
      </c>
      <c r="J11" s="6">
        <v>72</v>
      </c>
      <c r="K11" s="6">
        <v>1</v>
      </c>
      <c r="L11" s="6">
        <v>1</v>
      </c>
      <c r="M11" s="1" t="s">
        <v>7</v>
      </c>
      <c r="N11" s="1" t="s">
        <v>19</v>
      </c>
    </row>
    <row r="12" spans="1:14" x14ac:dyDescent="0.3">
      <c r="A12" s="1" t="s">
        <v>10</v>
      </c>
      <c r="B12" s="10">
        <v>43</v>
      </c>
      <c r="C12" s="10">
        <v>49</v>
      </c>
      <c r="D12" s="10">
        <v>2</v>
      </c>
      <c r="E12" s="10">
        <v>2</v>
      </c>
      <c r="F12" s="11" t="s">
        <v>6</v>
      </c>
      <c r="G12" s="11" t="s">
        <v>17</v>
      </c>
      <c r="H12" s="7"/>
      <c r="I12" s="6">
        <v>96</v>
      </c>
      <c r="J12" s="6">
        <v>84</v>
      </c>
      <c r="K12" s="6">
        <v>1</v>
      </c>
      <c r="L12" s="6">
        <v>1</v>
      </c>
      <c r="M12" s="1" t="s">
        <v>7</v>
      </c>
      <c r="N12" s="1" t="s">
        <v>19</v>
      </c>
    </row>
    <row r="13" spans="1:14" x14ac:dyDescent="0.3">
      <c r="B13" s="10">
        <v>43</v>
      </c>
      <c r="C13" s="10">
        <v>65</v>
      </c>
      <c r="D13" s="10">
        <v>2</v>
      </c>
      <c r="E13" s="10">
        <v>1</v>
      </c>
      <c r="F13" s="11" t="s">
        <v>6</v>
      </c>
      <c r="G13" s="11" t="s">
        <v>17</v>
      </c>
      <c r="H13" s="7"/>
      <c r="I13" s="6">
        <v>96</v>
      </c>
      <c r="J13" s="6">
        <v>120</v>
      </c>
      <c r="K13" s="6">
        <v>1</v>
      </c>
      <c r="L13" s="6">
        <v>1</v>
      </c>
      <c r="M13" s="1" t="s">
        <v>7</v>
      </c>
      <c r="N13" s="1" t="s">
        <v>19</v>
      </c>
    </row>
    <row r="14" spans="1:14" x14ac:dyDescent="0.3">
      <c r="B14" s="10">
        <v>48</v>
      </c>
      <c r="C14" s="10">
        <v>36</v>
      </c>
      <c r="D14" s="10">
        <v>2</v>
      </c>
      <c r="E14" s="10">
        <v>3</v>
      </c>
      <c r="F14" s="11" t="s">
        <v>6</v>
      </c>
      <c r="G14" s="11" t="s">
        <v>17</v>
      </c>
      <c r="H14" s="7"/>
      <c r="I14" s="6">
        <v>96</v>
      </c>
      <c r="J14" s="6">
        <v>144</v>
      </c>
      <c r="K14" s="6">
        <v>1</v>
      </c>
      <c r="L14" s="6">
        <v>1</v>
      </c>
      <c r="M14" s="1" t="s">
        <v>7</v>
      </c>
      <c r="N14" s="1" t="s">
        <v>19</v>
      </c>
    </row>
    <row r="15" spans="1:14" x14ac:dyDescent="0.3">
      <c r="B15" s="10">
        <v>48</v>
      </c>
      <c r="C15" s="10">
        <v>60</v>
      </c>
      <c r="D15" s="10">
        <v>2</v>
      </c>
      <c r="E15" s="10">
        <v>1</v>
      </c>
      <c r="F15" s="11" t="s">
        <v>6</v>
      </c>
      <c r="G15" s="11" t="s">
        <v>17</v>
      </c>
    </row>
    <row r="16" spans="1:14" x14ac:dyDescent="0.3">
      <c r="B16" s="10">
        <v>48</v>
      </c>
      <c r="C16" s="10">
        <v>72</v>
      </c>
      <c r="D16" s="10">
        <v>2</v>
      </c>
      <c r="E16" s="10">
        <v>1</v>
      </c>
      <c r="F16" s="11" t="s">
        <v>6</v>
      </c>
      <c r="G16" s="11" t="s">
        <v>17</v>
      </c>
    </row>
    <row r="17" spans="1:11" x14ac:dyDescent="0.3">
      <c r="B17" s="1"/>
      <c r="C17" s="1"/>
      <c r="D17" s="1"/>
      <c r="E17" s="1"/>
      <c r="F17" s="7"/>
      <c r="G17" s="7"/>
      <c r="J17" s="1" t="s">
        <v>11</v>
      </c>
      <c r="K17" s="1" t="s">
        <v>12</v>
      </c>
    </row>
    <row r="18" spans="1:11" x14ac:dyDescent="0.3">
      <c r="B18" s="1"/>
      <c r="C18" s="1"/>
      <c r="D18" s="1"/>
      <c r="E18" s="1"/>
      <c r="J18" s="1" t="s">
        <v>13</v>
      </c>
      <c r="K18" s="1" t="s">
        <v>8</v>
      </c>
    </row>
    <row r="19" spans="1:11" x14ac:dyDescent="0.3">
      <c r="B19" s="1"/>
      <c r="C19" s="1"/>
      <c r="D19" s="1"/>
      <c r="E19" s="1"/>
      <c r="J19" s="1" t="s">
        <v>14</v>
      </c>
      <c r="K19" s="1" t="s">
        <v>7</v>
      </c>
    </row>
    <row r="20" spans="1:11" x14ac:dyDescent="0.3">
      <c r="A20" s="1">
        <v>20260910</v>
      </c>
      <c r="B20" s="1"/>
      <c r="C20" s="1"/>
      <c r="D20" s="1"/>
      <c r="E20" s="7" t="s">
        <v>8</v>
      </c>
      <c r="F20" s="1">
        <v>15</v>
      </c>
    </row>
    <row r="21" spans="1:11" x14ac:dyDescent="0.3">
      <c r="B21" s="1"/>
      <c r="C21" s="1"/>
      <c r="D21" s="1"/>
      <c r="E21" s="11" t="s">
        <v>6</v>
      </c>
      <c r="F21" s="1">
        <v>51</v>
      </c>
    </row>
    <row r="22" spans="1:11" x14ac:dyDescent="0.3">
      <c r="B22" s="1"/>
      <c r="C22" s="1"/>
      <c r="D22" s="1"/>
      <c r="E22" s="1" t="s">
        <v>7</v>
      </c>
      <c r="F22" s="1">
        <v>63</v>
      </c>
    </row>
    <row r="23" spans="1:11" x14ac:dyDescent="0.3">
      <c r="B23" s="1"/>
      <c r="C23" s="1"/>
      <c r="D23" s="1"/>
      <c r="E23" s="1"/>
    </row>
    <row r="24" spans="1:11" x14ac:dyDescent="0.3">
      <c r="B24" s="1"/>
      <c r="C24" s="1"/>
      <c r="D24" s="1"/>
      <c r="E24" s="1"/>
    </row>
    <row r="25" spans="1:11" x14ac:dyDescent="0.3">
      <c r="B25" s="1"/>
      <c r="C25" s="1"/>
      <c r="D25" s="1"/>
      <c r="E25" s="1"/>
    </row>
    <row r="26" spans="1:11" x14ac:dyDescent="0.3">
      <c r="B26" s="1"/>
      <c r="C26" s="1"/>
      <c r="D26" s="1"/>
      <c r="E26" s="1"/>
    </row>
    <row r="27" spans="1:11" x14ac:dyDescent="0.3">
      <c r="B27" s="1"/>
      <c r="C27" s="1"/>
      <c r="D27" s="1"/>
      <c r="E27" s="1"/>
    </row>
    <row r="28" spans="1:11" x14ac:dyDescent="0.3">
      <c r="B28" s="1"/>
      <c r="C28" s="1"/>
      <c r="D28" s="1"/>
      <c r="E28" s="1"/>
    </row>
    <row r="29" spans="1:11" x14ac:dyDescent="0.3">
      <c r="B29" s="1"/>
      <c r="C29" s="1"/>
      <c r="D29" s="1"/>
      <c r="E29" s="1"/>
    </row>
    <row r="30" spans="1:11" x14ac:dyDescent="0.3">
      <c r="B30" s="1"/>
      <c r="C30" s="1"/>
      <c r="D30" s="1"/>
      <c r="E30" s="1"/>
    </row>
    <row r="31" spans="1:11" x14ac:dyDescent="0.3">
      <c r="B31" s="1"/>
      <c r="C31" s="1"/>
      <c r="D31" s="1"/>
      <c r="E31" s="1"/>
    </row>
  </sheetData>
  <sortState xmlns:xlrd2="http://schemas.microsoft.com/office/spreadsheetml/2017/richdata2" ref="I2:L14">
    <sortCondition ref="I2:I14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 Insight</vt:lpstr>
      <vt:lpstr>Batch 2</vt:lpstr>
      <vt:lpstr>0.Std.Loading gap</vt:lpstr>
      <vt:lpstr>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Electrical AGCTH</dc:creator>
  <cp:lastModifiedBy>Praween Piyaprapaphan/AFT/MechanicElectric(SP)</cp:lastModifiedBy>
  <dcterms:created xsi:type="dcterms:W3CDTF">2026-01-09T02:57:26Z</dcterms:created>
  <dcterms:modified xsi:type="dcterms:W3CDTF">2026-10-21T03:42:24Z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00289-1a9c-442f-923d-4f95209608d2_Enabled">
    <vt:lpwstr>true</vt:lpwstr>
  </property>
  <property fmtid="{D5CDD505-2E9C-101B-9397-08002B2CF9AE}" pid="3" name="MSIP_Label_9b500289-1a9c-442f-923d-4f95209608d2_SetDate">
    <vt:lpwstr>2026-10-20T10:08:39Z</vt:lpwstr>
  </property>
  <property fmtid="{D5CDD505-2E9C-101B-9397-08002B2CF9AE}" pid="4" name="MSIP_Label_9b500289-1a9c-442f-923d-4f95209608d2_Method">
    <vt:lpwstr>Privileged</vt:lpwstr>
  </property>
  <property fmtid="{D5CDD505-2E9C-101B-9397-08002B2CF9AE}" pid="5" name="MSIP_Label_9b500289-1a9c-442f-923d-4f95209608d2_Name">
    <vt:lpwstr>GCEP2 - Others</vt:lpwstr>
  </property>
  <property fmtid="{D5CDD505-2E9C-101B-9397-08002B2CF9AE}" pid="6" name="MSIP_Label_9b500289-1a9c-442f-923d-4f95209608d2_SiteId">
    <vt:lpwstr>90c56ca2-d892-45ce-810d-6cf368facdb3</vt:lpwstr>
  </property>
  <property fmtid="{D5CDD505-2E9C-101B-9397-08002B2CF9AE}" pid="7" name="MSIP_Label_9b500289-1a9c-442f-923d-4f95209608d2_ActionId">
    <vt:lpwstr>9714218f-0a92-4f24-aeee-839eca9bda99</vt:lpwstr>
  </property>
  <property fmtid="{D5CDD505-2E9C-101B-9397-08002B2CF9AE}" pid="8" name="MSIP_Label_9b500289-1a9c-442f-923d-4f95209608d2_ContentBits">
    <vt:lpwstr>0</vt:lpwstr>
  </property>
  <property fmtid="{D5CDD505-2E9C-101B-9397-08002B2CF9AE}" pid="9" name="MSIP_Label_9b500289-1a9c-442f-923d-4f95209608d2_Tag">
    <vt:lpwstr>10, 0, 1, 1</vt:lpwstr>
  </property>
</Properties>
</file>